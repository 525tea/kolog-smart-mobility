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김동혁\(5.공데_개방데이터)\23년 갱신 데이터\21년 화물수송실적\"/>
    </mc:Choice>
  </mc:AlternateContent>
  <bookViews>
    <workbookView xWindow="0" yWindow="0" windowWidth="23040" windowHeight="8940"/>
  </bookViews>
  <sheets>
    <sheet name="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41" i="1" l="1"/>
  <c r="BC41" i="1"/>
  <c r="BB41" i="1"/>
  <c r="BA41" i="1"/>
  <c r="AY41" i="1"/>
  <c r="AX41" i="1"/>
  <c r="AW41" i="1"/>
  <c r="AV41" i="1"/>
  <c r="AU41" i="1"/>
  <c r="AT41" i="1"/>
  <c r="AR41" i="1"/>
  <c r="AQ41" i="1"/>
  <c r="AP41" i="1"/>
  <c r="AO41" i="1"/>
  <c r="AM41" i="1"/>
  <c r="AL41" i="1"/>
  <c r="AK41" i="1"/>
  <c r="AJ41" i="1"/>
  <c r="AI41" i="1"/>
  <c r="AH41" i="1"/>
  <c r="AG41" i="1"/>
  <c r="AF41" i="1"/>
  <c r="AD41" i="1"/>
  <c r="AC41" i="1"/>
  <c r="AB41" i="1"/>
  <c r="Z41" i="1"/>
  <c r="Y41" i="1"/>
  <c r="X41" i="1"/>
  <c r="V41" i="1"/>
  <c r="T41" i="1"/>
  <c r="S41" i="1"/>
  <c r="R41" i="1"/>
  <c r="Q41" i="1"/>
  <c r="O41" i="1"/>
  <c r="N41" i="1"/>
  <c r="M41" i="1"/>
  <c r="K41" i="1"/>
  <c r="J41" i="1"/>
  <c r="I41" i="1"/>
  <c r="H41" i="1"/>
  <c r="G41" i="1"/>
  <c r="F41" i="1"/>
  <c r="E41" i="1"/>
  <c r="D41" i="1"/>
  <c r="C41" i="1"/>
  <c r="BE40" i="1"/>
  <c r="AZ40" i="1"/>
  <c r="AS40" i="1"/>
  <c r="AN40" i="1"/>
  <c r="AE40" i="1"/>
  <c r="AA40" i="1"/>
  <c r="W40" i="1"/>
  <c r="U40" i="1"/>
  <c r="P40" i="1"/>
  <c r="B40" i="1" s="1"/>
  <c r="L40" i="1"/>
  <c r="BE39" i="1"/>
  <c r="AZ39" i="1"/>
  <c r="AS39" i="1"/>
  <c r="AN39" i="1"/>
  <c r="AE39" i="1"/>
  <c r="AA39" i="1"/>
  <c r="W39" i="1"/>
  <c r="U39" i="1"/>
  <c r="P39" i="1"/>
  <c r="L39" i="1"/>
  <c r="B39" i="1" s="1"/>
  <c r="BE38" i="1"/>
  <c r="AZ38" i="1"/>
  <c r="AS38" i="1"/>
  <c r="AN38" i="1"/>
  <c r="AE38" i="1"/>
  <c r="AA38" i="1"/>
  <c r="W38" i="1"/>
  <c r="U38" i="1"/>
  <c r="B38" i="1" s="1"/>
  <c r="P38" i="1"/>
  <c r="L38" i="1"/>
  <c r="BE37" i="1"/>
  <c r="AZ37" i="1"/>
  <c r="AS37" i="1"/>
  <c r="AN37" i="1"/>
  <c r="AE37" i="1"/>
  <c r="AA37" i="1"/>
  <c r="W37" i="1"/>
  <c r="U37" i="1"/>
  <c r="P37" i="1"/>
  <c r="L37" i="1"/>
  <c r="B37" i="1"/>
  <c r="BE36" i="1"/>
  <c r="AZ36" i="1"/>
  <c r="AS36" i="1"/>
  <c r="AN36" i="1"/>
  <c r="AE36" i="1"/>
  <c r="AA36" i="1"/>
  <c r="W36" i="1"/>
  <c r="U36" i="1"/>
  <c r="P36" i="1"/>
  <c r="L36" i="1"/>
  <c r="B36" i="1" s="1"/>
  <c r="BE35" i="1"/>
  <c r="AZ35" i="1"/>
  <c r="AS35" i="1"/>
  <c r="AN35" i="1"/>
  <c r="AE35" i="1"/>
  <c r="AA35" i="1"/>
  <c r="W35" i="1"/>
  <c r="U35" i="1"/>
  <c r="P35" i="1"/>
  <c r="L35" i="1"/>
  <c r="B35" i="1"/>
  <c r="BE34" i="1"/>
  <c r="AZ34" i="1"/>
  <c r="AS34" i="1"/>
  <c r="AN34" i="1"/>
  <c r="AE34" i="1"/>
  <c r="AA34" i="1"/>
  <c r="W34" i="1"/>
  <c r="U34" i="1"/>
  <c r="P34" i="1"/>
  <c r="B34" i="1" s="1"/>
  <c r="L34" i="1"/>
  <c r="BE33" i="1"/>
  <c r="AZ33" i="1"/>
  <c r="AS33" i="1"/>
  <c r="AN33" i="1"/>
  <c r="AE33" i="1"/>
  <c r="AA33" i="1"/>
  <c r="W33" i="1"/>
  <c r="U33" i="1"/>
  <c r="P33" i="1"/>
  <c r="L33" i="1"/>
  <c r="B33" i="1" s="1"/>
  <c r="BE32" i="1"/>
  <c r="AZ32" i="1"/>
  <c r="AS32" i="1"/>
  <c r="AN32" i="1"/>
  <c r="AE32" i="1"/>
  <c r="AA32" i="1"/>
  <c r="W32" i="1"/>
  <c r="U32" i="1"/>
  <c r="B32" i="1" s="1"/>
  <c r="P32" i="1"/>
  <c r="L32" i="1"/>
  <c r="BE31" i="1"/>
  <c r="AZ31" i="1"/>
  <c r="AS31" i="1"/>
  <c r="AN31" i="1"/>
  <c r="AE31" i="1"/>
  <c r="AA31" i="1"/>
  <c r="W31" i="1"/>
  <c r="U31" i="1"/>
  <c r="P31" i="1"/>
  <c r="B31" i="1" s="1"/>
  <c r="L31" i="1"/>
  <c r="BE30" i="1"/>
  <c r="AZ30" i="1"/>
  <c r="AS30" i="1"/>
  <c r="AN30" i="1"/>
  <c r="AE30" i="1"/>
  <c r="AA30" i="1"/>
  <c r="W30" i="1"/>
  <c r="U30" i="1"/>
  <c r="P30" i="1"/>
  <c r="L30" i="1"/>
  <c r="B30" i="1" s="1"/>
  <c r="BE29" i="1"/>
  <c r="AZ29" i="1"/>
  <c r="AS29" i="1"/>
  <c r="AN29" i="1"/>
  <c r="AE29" i="1"/>
  <c r="B29" i="1" s="1"/>
  <c r="AA29" i="1"/>
  <c r="W29" i="1"/>
  <c r="U29" i="1"/>
  <c r="P29" i="1"/>
  <c r="L29" i="1"/>
  <c r="BE28" i="1"/>
  <c r="AZ28" i="1"/>
  <c r="AS28" i="1"/>
  <c r="AN28" i="1"/>
  <c r="AE28" i="1"/>
  <c r="AA28" i="1"/>
  <c r="W28" i="1"/>
  <c r="U28" i="1"/>
  <c r="P28" i="1"/>
  <c r="B28" i="1" s="1"/>
  <c r="L28" i="1"/>
  <c r="BE27" i="1"/>
  <c r="AZ27" i="1"/>
  <c r="AS27" i="1"/>
  <c r="AN27" i="1"/>
  <c r="AE27" i="1"/>
  <c r="AA27" i="1"/>
  <c r="W27" i="1"/>
  <c r="U27" i="1"/>
  <c r="P27" i="1"/>
  <c r="L27" i="1"/>
  <c r="B27" i="1" s="1"/>
  <c r="BE26" i="1"/>
  <c r="AZ26" i="1"/>
  <c r="AS26" i="1"/>
  <c r="AN26" i="1"/>
  <c r="AE26" i="1"/>
  <c r="AA26" i="1"/>
  <c r="W26" i="1"/>
  <c r="U26" i="1"/>
  <c r="B26" i="1" s="1"/>
  <c r="P26" i="1"/>
  <c r="L26" i="1"/>
  <c r="BE25" i="1"/>
  <c r="AZ25" i="1"/>
  <c r="AS25" i="1"/>
  <c r="AN25" i="1"/>
  <c r="AE25" i="1"/>
  <c r="AA25" i="1"/>
  <c r="W25" i="1"/>
  <c r="U25" i="1"/>
  <c r="P25" i="1"/>
  <c r="B25" i="1" s="1"/>
  <c r="L25" i="1"/>
  <c r="BE24" i="1"/>
  <c r="AZ24" i="1"/>
  <c r="AS24" i="1"/>
  <c r="AN24" i="1"/>
  <c r="AE24" i="1"/>
  <c r="AA24" i="1"/>
  <c r="W24" i="1"/>
  <c r="U24" i="1"/>
  <c r="P24" i="1"/>
  <c r="L24" i="1"/>
  <c r="B24" i="1" s="1"/>
  <c r="BE23" i="1"/>
  <c r="AZ23" i="1"/>
  <c r="AS23" i="1"/>
  <c r="AN23" i="1"/>
  <c r="AE23" i="1"/>
  <c r="B23" i="1" s="1"/>
  <c r="AA23" i="1"/>
  <c r="W23" i="1"/>
  <c r="U23" i="1"/>
  <c r="P23" i="1"/>
  <c r="L23" i="1"/>
  <c r="BE22" i="1"/>
  <c r="AZ22" i="1"/>
  <c r="AS22" i="1"/>
  <c r="AN22" i="1"/>
  <c r="AE22" i="1"/>
  <c r="AA22" i="1"/>
  <c r="W22" i="1"/>
  <c r="U22" i="1"/>
  <c r="P22" i="1"/>
  <c r="B22" i="1" s="1"/>
  <c r="L22" i="1"/>
  <c r="BE21" i="1"/>
  <c r="AZ21" i="1"/>
  <c r="AS21" i="1"/>
  <c r="AN21" i="1"/>
  <c r="AE21" i="1"/>
  <c r="AA21" i="1"/>
  <c r="W21" i="1"/>
  <c r="U21" i="1"/>
  <c r="P21" i="1"/>
  <c r="L21" i="1"/>
  <c r="B21" i="1" s="1"/>
  <c r="BE20" i="1"/>
  <c r="AZ20" i="1"/>
  <c r="AS20" i="1"/>
  <c r="AN20" i="1"/>
  <c r="AE20" i="1"/>
  <c r="AA20" i="1"/>
  <c r="W20" i="1"/>
  <c r="U20" i="1"/>
  <c r="B20" i="1" s="1"/>
  <c r="P20" i="1"/>
  <c r="L20" i="1"/>
  <c r="BE19" i="1"/>
  <c r="AZ19" i="1"/>
  <c r="AS19" i="1"/>
  <c r="AN19" i="1"/>
  <c r="AE19" i="1"/>
  <c r="AA19" i="1"/>
  <c r="W19" i="1"/>
  <c r="U19" i="1"/>
  <c r="P19" i="1"/>
  <c r="B19" i="1" s="1"/>
  <c r="L19" i="1"/>
  <c r="BE18" i="1"/>
  <c r="AZ18" i="1"/>
  <c r="AS18" i="1"/>
  <c r="AN18" i="1"/>
  <c r="AE18" i="1"/>
  <c r="AA18" i="1"/>
  <c r="W18" i="1"/>
  <c r="U18" i="1"/>
  <c r="P18" i="1"/>
  <c r="L18" i="1"/>
  <c r="B18" i="1" s="1"/>
  <c r="BE17" i="1"/>
  <c r="AZ17" i="1"/>
  <c r="AS17" i="1"/>
  <c r="AN17" i="1"/>
  <c r="AE17" i="1"/>
  <c r="AA17" i="1"/>
  <c r="W17" i="1"/>
  <c r="U17" i="1"/>
  <c r="P17" i="1"/>
  <c r="L17" i="1"/>
  <c r="B17" i="1"/>
  <c r="BE16" i="1"/>
  <c r="AZ16" i="1"/>
  <c r="AS16" i="1"/>
  <c r="AN16" i="1"/>
  <c r="AE16" i="1"/>
  <c r="AA16" i="1"/>
  <c r="W16" i="1"/>
  <c r="U16" i="1"/>
  <c r="P16" i="1"/>
  <c r="B16" i="1" s="1"/>
  <c r="L16" i="1"/>
  <c r="BE15" i="1"/>
  <c r="AZ15" i="1"/>
  <c r="AS15" i="1"/>
  <c r="AN15" i="1"/>
  <c r="AE15" i="1"/>
  <c r="AA15" i="1"/>
  <c r="W15" i="1"/>
  <c r="U15" i="1"/>
  <c r="P15" i="1"/>
  <c r="L15" i="1"/>
  <c r="B15" i="1" s="1"/>
  <c r="BE14" i="1"/>
  <c r="AZ14" i="1"/>
  <c r="AS14" i="1"/>
  <c r="AN14" i="1"/>
  <c r="AE14" i="1"/>
  <c r="AA14" i="1"/>
  <c r="W14" i="1"/>
  <c r="U14" i="1"/>
  <c r="B14" i="1" s="1"/>
  <c r="P14" i="1"/>
  <c r="L14" i="1"/>
  <c r="BE13" i="1"/>
  <c r="AZ13" i="1"/>
  <c r="AS13" i="1"/>
  <c r="AN13" i="1"/>
  <c r="AE13" i="1"/>
  <c r="AA13" i="1"/>
  <c r="W13" i="1"/>
  <c r="U13" i="1"/>
  <c r="P13" i="1"/>
  <c r="B13" i="1" s="1"/>
  <c r="L13" i="1"/>
  <c r="BE12" i="1"/>
  <c r="AZ12" i="1"/>
  <c r="AS12" i="1"/>
  <c r="AN12" i="1"/>
  <c r="AE12" i="1"/>
  <c r="AA12" i="1"/>
  <c r="W12" i="1"/>
  <c r="U12" i="1"/>
  <c r="P12" i="1"/>
  <c r="L12" i="1"/>
  <c r="B12" i="1" s="1"/>
  <c r="BE11" i="1"/>
  <c r="AZ11" i="1"/>
  <c r="AS11" i="1"/>
  <c r="AN11" i="1"/>
  <c r="AE11" i="1"/>
  <c r="AA11" i="1"/>
  <c r="W11" i="1"/>
  <c r="U11" i="1"/>
  <c r="P11" i="1"/>
  <c r="L11" i="1"/>
  <c r="B11" i="1"/>
  <c r="BE10" i="1"/>
  <c r="AZ10" i="1"/>
  <c r="AS10" i="1"/>
  <c r="AN10" i="1"/>
  <c r="AE10" i="1"/>
  <c r="AA10" i="1"/>
  <c r="W10" i="1"/>
  <c r="U10" i="1"/>
  <c r="P10" i="1"/>
  <c r="B10" i="1" s="1"/>
  <c r="L10" i="1"/>
  <c r="BE9" i="1"/>
  <c r="AZ9" i="1"/>
  <c r="AS9" i="1"/>
  <c r="AN9" i="1"/>
  <c r="AE9" i="1"/>
  <c r="AA9" i="1"/>
  <c r="W9" i="1"/>
  <c r="U9" i="1"/>
  <c r="P9" i="1"/>
  <c r="L9" i="1"/>
  <c r="B9" i="1" s="1"/>
  <c r="BE8" i="1"/>
  <c r="AZ8" i="1"/>
  <c r="AS8" i="1"/>
  <c r="AN8" i="1"/>
  <c r="AE8" i="1"/>
  <c r="AA8" i="1"/>
  <c r="W8" i="1"/>
  <c r="U8" i="1"/>
  <c r="B8" i="1" s="1"/>
  <c r="P8" i="1"/>
  <c r="L8" i="1"/>
  <c r="BE7" i="1"/>
  <c r="AZ7" i="1"/>
  <c r="AS7" i="1"/>
  <c r="AN7" i="1"/>
  <c r="AE7" i="1"/>
  <c r="AA7" i="1"/>
  <c r="W7" i="1"/>
  <c r="U7" i="1"/>
  <c r="U41" i="1" s="1"/>
  <c r="P7" i="1"/>
  <c r="B7" i="1" s="1"/>
  <c r="L7" i="1"/>
  <c r="BE6" i="1"/>
  <c r="BE41" i="1" s="1"/>
  <c r="AZ6" i="1"/>
  <c r="AZ41" i="1" s="1"/>
  <c r="AS6" i="1"/>
  <c r="AS41" i="1" s="1"/>
  <c r="AN6" i="1"/>
  <c r="AN41" i="1" s="1"/>
  <c r="AE6" i="1"/>
  <c r="AE41" i="1" s="1"/>
  <c r="AA6" i="1"/>
  <c r="AA41" i="1" s="1"/>
  <c r="W6" i="1"/>
  <c r="W41" i="1" s="1"/>
  <c r="U6" i="1"/>
  <c r="P6" i="1"/>
  <c r="P41" i="1" s="1"/>
  <c r="L6" i="1"/>
  <c r="B6" i="1" s="1"/>
  <c r="C6" i="1"/>
  <c r="B41" i="1" l="1"/>
  <c r="L41" i="1"/>
</calcChain>
</file>

<file path=xl/sharedStrings.xml><?xml version="1.0" encoding="utf-8"?>
<sst xmlns="http://schemas.openxmlformats.org/spreadsheetml/2006/main" count="105" uniqueCount="105">
  <si>
    <t>6. 선  별  화  물 수  송  실  적 (톤수)</t>
    <phoneticPr fontId="3" type="noConversion"/>
  </si>
  <si>
    <t>단위 : 톤</t>
  </si>
  <si>
    <t xml:space="preserve">            품  목  별                                     
  선 별</t>
    <phoneticPr fontId="6" type="noConversion"/>
  </si>
  <si>
    <t>총합계</t>
  </si>
  <si>
    <t>컨테이너</t>
    <phoneticPr fontId="6" type="noConversion"/>
  </si>
  <si>
    <t>시멘트</t>
    <phoneticPr fontId="6" type="noConversion"/>
  </si>
  <si>
    <t>석탄</t>
    <phoneticPr fontId="6" type="noConversion"/>
  </si>
  <si>
    <t>유류</t>
    <phoneticPr fontId="6" type="noConversion"/>
  </si>
  <si>
    <t>광석</t>
    <phoneticPr fontId="6" type="noConversion"/>
  </si>
  <si>
    <t>철강</t>
    <phoneticPr fontId="6" type="noConversion"/>
  </si>
  <si>
    <t>일반기타</t>
    <phoneticPr fontId="6" type="noConversion"/>
  </si>
  <si>
    <t>건설</t>
    <phoneticPr fontId="6" type="noConversion"/>
  </si>
  <si>
    <t>순수사업용</t>
    <phoneticPr fontId="6" type="noConversion"/>
  </si>
  <si>
    <t>위수탁사업용</t>
    <phoneticPr fontId="6" type="noConversion"/>
  </si>
  <si>
    <t>일반컨테이너</t>
  </si>
  <si>
    <t>컨테이너TPA</t>
  </si>
  <si>
    <t>JR컨테이너</t>
    <phoneticPr fontId="6" type="noConversion"/>
  </si>
  <si>
    <t>컨테이너 우드펠릿</t>
  </si>
  <si>
    <t>컨테이너 석탄류</t>
  </si>
  <si>
    <t>컨테이너 크링카</t>
  </si>
  <si>
    <t>컨테이너 발전탄</t>
  </si>
  <si>
    <t>컨테이너 기타중량품</t>
  </si>
  <si>
    <t>컨테이너페로니켈</t>
  </si>
  <si>
    <t>컨테이너계</t>
  </si>
  <si>
    <t>벌크시멘트</t>
  </si>
  <si>
    <t>크링카</t>
  </si>
  <si>
    <t>포대시멘트</t>
  </si>
  <si>
    <t>시멘트계</t>
  </si>
  <si>
    <t>발전용무연탄</t>
  </si>
  <si>
    <t>민수용무연탄</t>
  </si>
  <si>
    <t>시멘트용유연탄</t>
  </si>
  <si>
    <t>경석</t>
  </si>
  <si>
    <t>석탄계</t>
  </si>
  <si>
    <t>JP8제트유</t>
  </si>
  <si>
    <t>유류계</t>
  </si>
  <si>
    <t>석회석</t>
  </si>
  <si>
    <t>백운석</t>
  </si>
  <si>
    <t>철광석</t>
  </si>
  <si>
    <t>광석계</t>
  </si>
  <si>
    <t>냉연</t>
  </si>
  <si>
    <t>열연</t>
  </si>
  <si>
    <t>기타철재</t>
  </si>
  <si>
    <t>철강계</t>
  </si>
  <si>
    <t>광재</t>
  </si>
  <si>
    <t>종이</t>
  </si>
  <si>
    <t>황산</t>
  </si>
  <si>
    <t>프로필렌</t>
  </si>
  <si>
    <t>비료</t>
  </si>
  <si>
    <t>자동차</t>
    <phoneticPr fontId="6" type="noConversion"/>
  </si>
  <si>
    <t>갑종철도차량</t>
  </si>
  <si>
    <t>일반기타</t>
  </si>
  <si>
    <t>일반기타계</t>
  </si>
  <si>
    <t>건설탄약</t>
  </si>
  <si>
    <t>건설장비</t>
  </si>
  <si>
    <t>건설기타보급품</t>
  </si>
  <si>
    <t>미군화물</t>
  </si>
  <si>
    <t>건설계</t>
  </si>
  <si>
    <t>사업유류</t>
    <phoneticPr fontId="6" type="noConversion"/>
  </si>
  <si>
    <t>사업갑종철도차량</t>
  </si>
  <si>
    <t>사업차량부품</t>
  </si>
  <si>
    <t>사업자갈</t>
    <phoneticPr fontId="6" type="noConversion"/>
  </si>
  <si>
    <t>사업레일</t>
  </si>
  <si>
    <t>사업기타</t>
  </si>
  <si>
    <t>사업계</t>
    <phoneticPr fontId="6" type="noConversion"/>
  </si>
  <si>
    <t>위수탁사업용자갈</t>
  </si>
  <si>
    <t>위수탁사업용레일</t>
  </si>
  <si>
    <t>위수탁사업용침목</t>
  </si>
  <si>
    <t>위수탁사업용기타</t>
  </si>
  <si>
    <t>사업용계</t>
  </si>
  <si>
    <t>경부선</t>
  </si>
  <si>
    <t>중앙선</t>
    <phoneticPr fontId="6" type="noConversion"/>
  </si>
  <si>
    <t>호남선</t>
    <phoneticPr fontId="6" type="noConversion"/>
  </si>
  <si>
    <t>전라선</t>
    <phoneticPr fontId="6" type="noConversion"/>
  </si>
  <si>
    <t>충북선</t>
    <phoneticPr fontId="6" type="noConversion"/>
  </si>
  <si>
    <t>장항선</t>
    <phoneticPr fontId="6" type="noConversion"/>
  </si>
  <si>
    <t>경의선</t>
    <phoneticPr fontId="6" type="noConversion"/>
  </si>
  <si>
    <t>경원선</t>
    <phoneticPr fontId="6" type="noConversion"/>
  </si>
  <si>
    <t>경춘선</t>
    <phoneticPr fontId="6" type="noConversion"/>
  </si>
  <si>
    <t>남부화물기지선</t>
    <phoneticPr fontId="6" type="noConversion"/>
  </si>
  <si>
    <t>영일만항선</t>
    <phoneticPr fontId="6" type="noConversion"/>
  </si>
  <si>
    <t>광주선</t>
    <phoneticPr fontId="6" type="noConversion"/>
  </si>
  <si>
    <t>북전주선</t>
    <phoneticPr fontId="6" type="noConversion"/>
  </si>
  <si>
    <t>부강화물선</t>
    <phoneticPr fontId="6" type="noConversion"/>
  </si>
  <si>
    <t>군산항선</t>
    <phoneticPr fontId="6" type="noConversion"/>
  </si>
  <si>
    <t>여천선</t>
    <phoneticPr fontId="6" type="noConversion"/>
  </si>
  <si>
    <t>광양제철선</t>
    <phoneticPr fontId="6" type="noConversion"/>
  </si>
  <si>
    <t>신광양항선</t>
    <phoneticPr fontId="6" type="noConversion"/>
  </si>
  <si>
    <t>부산신항선</t>
    <phoneticPr fontId="6" type="noConversion"/>
  </si>
  <si>
    <t>신항북선</t>
    <phoneticPr fontId="6" type="noConversion"/>
  </si>
  <si>
    <t>신항남선</t>
    <phoneticPr fontId="6" type="noConversion"/>
  </si>
  <si>
    <t>영동선</t>
    <phoneticPr fontId="6" type="noConversion"/>
  </si>
  <si>
    <t>태백선</t>
    <phoneticPr fontId="6" type="noConversion"/>
  </si>
  <si>
    <t>북평선</t>
    <phoneticPr fontId="6" type="noConversion"/>
  </si>
  <si>
    <t>울산신항선</t>
    <phoneticPr fontId="6" type="noConversion"/>
  </si>
  <si>
    <t>덕산선</t>
    <phoneticPr fontId="6" type="noConversion"/>
  </si>
  <si>
    <t>동해선</t>
    <phoneticPr fontId="6" type="noConversion"/>
  </si>
  <si>
    <t>온산선</t>
    <phoneticPr fontId="6" type="noConversion"/>
  </si>
  <si>
    <t>울산항선</t>
    <phoneticPr fontId="6" type="noConversion"/>
  </si>
  <si>
    <t>괴동선</t>
    <phoneticPr fontId="6" type="noConversion"/>
  </si>
  <si>
    <t>진해선</t>
    <phoneticPr fontId="6" type="noConversion"/>
  </si>
  <si>
    <t>가야선</t>
    <phoneticPr fontId="6" type="noConversion"/>
  </si>
  <si>
    <t>우암선</t>
    <phoneticPr fontId="6" type="noConversion"/>
  </si>
  <si>
    <t>경전선</t>
    <phoneticPr fontId="6" type="noConversion"/>
  </si>
  <si>
    <t>지하1호선</t>
    <phoneticPr fontId="6" type="noConversion"/>
  </si>
  <si>
    <t>총합계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</si>
</sst>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[&gt;0]#,##0;[=0]&quot;-&quot;#;General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.5"/>
      <name val="HY중고딕"/>
      <family val="1"/>
      <charset val="129"/>
    </font>
    <font>
      <sz val="8"/>
      <name val="맑은 고딕"/>
      <family val="3"/>
      <charset val="129"/>
      <scheme val="minor"/>
    </font>
    <font>
      <sz val="16"/>
      <name val="HY견명조"/>
      <family val="1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NumberFormat="1" applyFont="1" applyAlignment="1">
      <alignment vertical="top"/>
    </xf>
    <xf numFmtId="176" fontId="4" fillId="0" borderId="0" xfId="0" applyNumberFormat="1" applyFont="1" applyAlignment="1">
      <alignment horizontal="right" vertical="top"/>
    </xf>
    <xf numFmtId="176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center" shrinkToFit="1"/>
    </xf>
    <xf numFmtId="176" fontId="2" fillId="0" borderId="0" xfId="0" applyNumberFormat="1" applyFont="1" applyAlignment="1">
      <alignment horizontal="right" vertical="center"/>
    </xf>
    <xf numFmtId="41" fontId="2" fillId="0" borderId="0" xfId="0" applyNumberFormat="1" applyFont="1" applyAlignment="1">
      <alignment horizontal="center" vertical="top"/>
    </xf>
    <xf numFmtId="49" fontId="5" fillId="0" borderId="1" xfId="0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applyFont="1"/>
    <xf numFmtId="49" fontId="7" fillId="0" borderId="2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/>
    </xf>
    <xf numFmtId="49" fontId="7" fillId="0" borderId="2" xfId="2" applyNumberFormat="1" applyFill="1" applyBorder="1" applyAlignment="1">
      <alignment horizontal="center" vertical="center"/>
    </xf>
    <xf numFmtId="41" fontId="8" fillId="0" borderId="2" xfId="0" applyNumberFormat="1" applyFont="1" applyFill="1" applyBorder="1"/>
    <xf numFmtId="41" fontId="1" fillId="0" borderId="2" xfId="3" applyNumberFormat="1" applyFill="1" applyBorder="1">
      <alignment vertical="center"/>
    </xf>
    <xf numFmtId="41" fontId="0" fillId="0" borderId="2" xfId="0" applyNumberFormat="1" applyFont="1" applyFill="1" applyBorder="1"/>
    <xf numFmtId="41" fontId="9" fillId="0" borderId="2" xfId="0" applyNumberFormat="1" applyFont="1" applyFill="1" applyBorder="1" applyAlignment="1">
      <alignment horizontal="center" vertical="top"/>
    </xf>
    <xf numFmtId="41" fontId="7" fillId="0" borderId="2" xfId="2" applyNumberFormat="1" applyFill="1" applyBorder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/>
    <xf numFmtId="0" fontId="8" fillId="0" borderId="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/>
    <xf numFmtId="0" fontId="7" fillId="0" borderId="0" xfId="2">
      <alignment vertical="center"/>
    </xf>
    <xf numFmtId="41" fontId="9" fillId="0" borderId="0" xfId="0" applyNumberFormat="1" applyFont="1" applyAlignment="1">
      <alignment horizontal="center" vertical="top"/>
    </xf>
  </cellXfs>
  <cellStyles count="4">
    <cellStyle name="표준" xfId="0" builtinId="0"/>
    <cellStyle name="표준 15" xfId="2"/>
    <cellStyle name="표준 18" xfId="3"/>
    <cellStyle name="표준 3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7"/>
  <sheetViews>
    <sheetView tabSelected="1" zoomScale="85" zoomScaleNormal="85" workbookViewId="0">
      <selection activeCell="B3" sqref="B3"/>
    </sheetView>
  </sheetViews>
  <sheetFormatPr defaultColWidth="23.8984375" defaultRowHeight="17.399999999999999" x14ac:dyDescent="0.4"/>
  <cols>
    <col min="1" max="1" width="17.8984375" customWidth="1"/>
    <col min="2" max="2" width="15.5" customWidth="1"/>
    <col min="3" max="3" width="13" bestFit="1" customWidth="1"/>
    <col min="4" max="4" width="12.59765625" bestFit="1" customWidth="1"/>
    <col min="5" max="5" width="10.8984375" bestFit="1" customWidth="1"/>
    <col min="6" max="6" width="19.09765625" customWidth="1"/>
    <col min="7" max="9" width="15.8984375" bestFit="1" customWidth="1"/>
    <col min="10" max="10" width="20" bestFit="1" customWidth="1"/>
    <col min="11" max="11" width="17.19921875" bestFit="1" customWidth="1"/>
    <col min="12" max="12" width="11.19921875" bestFit="1" customWidth="1"/>
    <col min="13" max="13" width="13.59765625" bestFit="1" customWidth="1"/>
    <col min="14" max="14" width="7.09765625" bestFit="1" customWidth="1"/>
    <col min="15" max="15" width="11" bestFit="1" customWidth="1"/>
    <col min="16" max="16" width="13.59765625" bestFit="1" customWidth="1"/>
    <col min="17" max="18" width="13" bestFit="1" customWidth="1"/>
    <col min="19" max="19" width="15.09765625" bestFit="1" customWidth="1"/>
    <col min="20" max="20" width="5.19921875" bestFit="1" customWidth="1"/>
    <col min="21" max="21" width="12.3984375" bestFit="1" customWidth="1"/>
    <col min="22" max="22" width="9.8984375" bestFit="1" customWidth="1"/>
    <col min="23" max="26" width="10.5" bestFit="1" customWidth="1"/>
    <col min="27" max="27" width="12.3984375" bestFit="1" customWidth="1"/>
    <col min="28" max="28" width="10.5" bestFit="1" customWidth="1"/>
    <col min="29" max="29" width="12.3984375" bestFit="1" customWidth="1"/>
    <col min="30" max="30" width="9" bestFit="1" customWidth="1"/>
    <col min="31" max="31" width="12.3984375" bestFit="1" customWidth="1"/>
    <col min="32" max="32" width="9.3984375" bestFit="1" customWidth="1"/>
    <col min="33" max="35" width="10.5" bestFit="1" customWidth="1"/>
    <col min="36" max="36" width="5.19921875" bestFit="1" customWidth="1"/>
    <col min="37" max="37" width="7.09765625" bestFit="1" customWidth="1"/>
    <col min="38" max="38" width="13" bestFit="1" customWidth="1"/>
    <col min="39" max="39" width="9" bestFit="1" customWidth="1"/>
    <col min="40" max="40" width="11.19921875" bestFit="1" customWidth="1"/>
    <col min="41" max="42" width="9" bestFit="1" customWidth="1"/>
    <col min="43" max="43" width="15.09765625" bestFit="1" customWidth="1"/>
    <col min="44" max="44" width="9" bestFit="1" customWidth="1"/>
    <col min="45" max="45" width="9.3984375" bestFit="1" customWidth="1"/>
    <col min="46" max="46" width="9" bestFit="1" customWidth="1"/>
    <col min="47" max="47" width="17.19921875" bestFit="1" customWidth="1"/>
    <col min="48" max="48" width="13" bestFit="1" customWidth="1"/>
    <col min="49" max="51" width="9" bestFit="1" customWidth="1"/>
    <col min="52" max="52" width="10.5" bestFit="1" customWidth="1"/>
    <col min="53" max="56" width="17.19921875" bestFit="1" customWidth="1"/>
    <col min="57" max="57" width="9.19921875" bestFit="1" customWidth="1"/>
  </cols>
  <sheetData>
    <row r="1" spans="1:59" ht="20.399999999999999" x14ac:dyDescent="0.4">
      <c r="A1" s="1"/>
      <c r="B1" s="2"/>
      <c r="C1" s="2"/>
      <c r="D1" s="2"/>
      <c r="E1" s="2"/>
      <c r="F1" s="3" t="s">
        <v>0</v>
      </c>
      <c r="G1" s="3"/>
      <c r="H1" s="1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4">
      <c r="A2" s="1"/>
      <c r="B2" s="4"/>
      <c r="C2" s="4"/>
      <c r="D2" s="4"/>
      <c r="E2" s="4"/>
      <c r="F2" s="5"/>
      <c r="G2" s="4"/>
      <c r="H2" s="1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4">
      <c r="A3" s="6"/>
      <c r="L3" s="7"/>
      <c r="O3" s="8"/>
      <c r="BD3" s="7" t="s">
        <v>1</v>
      </c>
    </row>
    <row r="4" spans="1:59" s="15" customFormat="1" ht="18.75" customHeight="1" x14ac:dyDescent="0.4">
      <c r="A4" s="9" t="s">
        <v>2</v>
      </c>
      <c r="B4" s="10" t="s">
        <v>3</v>
      </c>
      <c r="C4" s="11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 t="s">
        <v>5</v>
      </c>
      <c r="N4" s="11"/>
      <c r="O4" s="11"/>
      <c r="P4" s="11"/>
      <c r="Q4" s="11" t="s">
        <v>6</v>
      </c>
      <c r="R4" s="11"/>
      <c r="S4" s="11"/>
      <c r="T4" s="11"/>
      <c r="U4" s="11"/>
      <c r="V4" s="11" t="s">
        <v>7</v>
      </c>
      <c r="W4" s="11"/>
      <c r="X4" s="11" t="s">
        <v>8</v>
      </c>
      <c r="Y4" s="11"/>
      <c r="Z4" s="11"/>
      <c r="AA4" s="11"/>
      <c r="AB4" s="11" t="s">
        <v>9</v>
      </c>
      <c r="AC4" s="11"/>
      <c r="AD4" s="11"/>
      <c r="AE4" s="11"/>
      <c r="AF4" s="11" t="s">
        <v>10</v>
      </c>
      <c r="AG4" s="11"/>
      <c r="AH4" s="11"/>
      <c r="AI4" s="11"/>
      <c r="AJ4" s="11"/>
      <c r="AK4" s="11"/>
      <c r="AL4" s="11"/>
      <c r="AM4" s="11"/>
      <c r="AN4" s="11"/>
      <c r="AO4" s="11" t="s">
        <v>11</v>
      </c>
      <c r="AP4" s="11"/>
      <c r="AQ4" s="11"/>
      <c r="AR4" s="11"/>
      <c r="AS4" s="11"/>
      <c r="AT4" s="12" t="s">
        <v>12</v>
      </c>
      <c r="AU4" s="13"/>
      <c r="AV4" s="13"/>
      <c r="AW4" s="13"/>
      <c r="AX4" s="13"/>
      <c r="AY4" s="13"/>
      <c r="AZ4" s="14"/>
      <c r="BA4" s="11" t="s">
        <v>13</v>
      </c>
      <c r="BB4" s="11"/>
      <c r="BC4" s="11"/>
      <c r="BD4" s="11"/>
      <c r="BE4" s="11"/>
    </row>
    <row r="5" spans="1:59" s="15" customFormat="1" ht="18.75" customHeight="1" x14ac:dyDescent="0.4">
      <c r="A5" s="9"/>
      <c r="B5" s="10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6" t="s">
        <v>19</v>
      </c>
      <c r="I5" s="16" t="s">
        <v>20</v>
      </c>
      <c r="J5" s="16" t="s">
        <v>21</v>
      </c>
      <c r="K5" s="16" t="s">
        <v>22</v>
      </c>
      <c r="L5" s="17" t="s">
        <v>23</v>
      </c>
      <c r="M5" s="16" t="s">
        <v>24</v>
      </c>
      <c r="N5" s="16" t="s">
        <v>25</v>
      </c>
      <c r="O5" s="16" t="s">
        <v>26</v>
      </c>
      <c r="P5" s="17" t="s">
        <v>27</v>
      </c>
      <c r="Q5" s="16" t="s">
        <v>28</v>
      </c>
      <c r="R5" s="16" t="s">
        <v>29</v>
      </c>
      <c r="S5" s="16" t="s">
        <v>30</v>
      </c>
      <c r="T5" s="16" t="s">
        <v>31</v>
      </c>
      <c r="U5" s="17" t="s">
        <v>32</v>
      </c>
      <c r="V5" s="16" t="s">
        <v>33</v>
      </c>
      <c r="W5" s="17" t="s">
        <v>34</v>
      </c>
      <c r="X5" s="16" t="s">
        <v>35</v>
      </c>
      <c r="Y5" s="16" t="s">
        <v>36</v>
      </c>
      <c r="Z5" s="16" t="s">
        <v>37</v>
      </c>
      <c r="AA5" s="17" t="s">
        <v>38</v>
      </c>
      <c r="AB5" s="16" t="s">
        <v>39</v>
      </c>
      <c r="AC5" s="16" t="s">
        <v>40</v>
      </c>
      <c r="AD5" s="16" t="s">
        <v>41</v>
      </c>
      <c r="AE5" s="17" t="s">
        <v>42</v>
      </c>
      <c r="AF5" s="16" t="s">
        <v>43</v>
      </c>
      <c r="AG5" s="16" t="s">
        <v>44</v>
      </c>
      <c r="AH5" s="16" t="s">
        <v>45</v>
      </c>
      <c r="AI5" s="16" t="s">
        <v>46</v>
      </c>
      <c r="AJ5" s="16" t="s">
        <v>47</v>
      </c>
      <c r="AK5" s="16" t="s">
        <v>48</v>
      </c>
      <c r="AL5" s="16" t="s">
        <v>49</v>
      </c>
      <c r="AM5" s="16" t="s">
        <v>50</v>
      </c>
      <c r="AN5" s="17" t="s">
        <v>51</v>
      </c>
      <c r="AO5" s="16" t="s">
        <v>52</v>
      </c>
      <c r="AP5" s="16" t="s">
        <v>53</v>
      </c>
      <c r="AQ5" s="16" t="s">
        <v>54</v>
      </c>
      <c r="AR5" s="16" t="s">
        <v>55</v>
      </c>
      <c r="AS5" s="17" t="s">
        <v>56</v>
      </c>
      <c r="AT5" s="16" t="s">
        <v>57</v>
      </c>
      <c r="AU5" s="16" t="s">
        <v>58</v>
      </c>
      <c r="AV5" s="16" t="s">
        <v>59</v>
      </c>
      <c r="AW5" s="16" t="s">
        <v>60</v>
      </c>
      <c r="AX5" s="16" t="s">
        <v>61</v>
      </c>
      <c r="AY5" s="16" t="s">
        <v>62</v>
      </c>
      <c r="AZ5" s="17" t="s">
        <v>63</v>
      </c>
      <c r="BA5" s="16" t="s">
        <v>64</v>
      </c>
      <c r="BB5" s="16" t="s">
        <v>65</v>
      </c>
      <c r="BC5" s="16" t="s">
        <v>66</v>
      </c>
      <c r="BD5" s="16" t="s">
        <v>67</v>
      </c>
      <c r="BE5" s="17" t="s">
        <v>68</v>
      </c>
    </row>
    <row r="6" spans="1:59" s="15" customFormat="1" ht="18.75" customHeight="1" x14ac:dyDescent="0.4">
      <c r="A6" s="18" t="s">
        <v>69</v>
      </c>
      <c r="B6" s="19">
        <f>SUM(L6,P6,U6,W6,AA6,AE6,AN6,AS6,AZ6,BE6)</f>
        <v>1735433</v>
      </c>
      <c r="C6" s="20">
        <f>1334844+158835</f>
        <v>1493679</v>
      </c>
      <c r="D6" s="21">
        <v>0</v>
      </c>
      <c r="E6" s="21">
        <v>0</v>
      </c>
      <c r="F6" s="20">
        <v>76400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19">
        <f>SUM(C6:K6)</f>
        <v>1570079</v>
      </c>
      <c r="M6" s="21">
        <v>0</v>
      </c>
      <c r="N6" s="21">
        <v>0</v>
      </c>
      <c r="O6" s="21">
        <v>0</v>
      </c>
      <c r="P6" s="22">
        <f>SUM(M6:O6)</f>
        <v>0</v>
      </c>
      <c r="Q6" s="21">
        <v>0</v>
      </c>
      <c r="R6" s="21">
        <v>0</v>
      </c>
      <c r="S6" s="21">
        <v>0</v>
      </c>
      <c r="T6" s="21">
        <v>0</v>
      </c>
      <c r="U6" s="19">
        <f>SUM(Q6:T6)</f>
        <v>0</v>
      </c>
      <c r="V6" s="21">
        <v>0</v>
      </c>
      <c r="W6" s="19">
        <f>SUM(V6)</f>
        <v>0</v>
      </c>
      <c r="X6" s="21">
        <v>0</v>
      </c>
      <c r="Y6" s="21">
        <v>0</v>
      </c>
      <c r="Z6" s="21">
        <v>0</v>
      </c>
      <c r="AA6" s="19">
        <f>SUM(X6:Z6)</f>
        <v>0</v>
      </c>
      <c r="AB6" s="21">
        <v>0</v>
      </c>
      <c r="AC6" s="21">
        <v>0</v>
      </c>
      <c r="AD6" s="21">
        <v>0</v>
      </c>
      <c r="AE6" s="19">
        <f>SUM(AB6:AD6)</f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0">
        <v>16411</v>
      </c>
      <c r="AM6" s="23">
        <v>0</v>
      </c>
      <c r="AN6" s="19">
        <f>SUM(AF6:AM6)</f>
        <v>16411</v>
      </c>
      <c r="AO6" s="20">
        <v>5112</v>
      </c>
      <c r="AP6" s="20">
        <v>438</v>
      </c>
      <c r="AQ6" s="20">
        <v>266</v>
      </c>
      <c r="AR6" s="20">
        <v>8490</v>
      </c>
      <c r="AS6" s="19">
        <f>SUM(AO6:AR6)</f>
        <v>14306</v>
      </c>
      <c r="AT6" s="21">
        <v>0</v>
      </c>
      <c r="AU6" s="20">
        <v>65859</v>
      </c>
      <c r="AV6" s="20">
        <v>1462</v>
      </c>
      <c r="AW6" s="21">
        <v>0</v>
      </c>
      <c r="AX6" s="20">
        <v>169</v>
      </c>
      <c r="AY6" s="20">
        <v>1210</v>
      </c>
      <c r="AZ6" s="19">
        <f>SUM(AT6:AY6)</f>
        <v>68700</v>
      </c>
      <c r="BA6" s="20">
        <v>64750</v>
      </c>
      <c r="BB6" s="20">
        <v>690</v>
      </c>
      <c r="BC6" s="20">
        <v>43</v>
      </c>
      <c r="BD6" s="20">
        <v>454</v>
      </c>
      <c r="BE6" s="19">
        <f>SUM(BA6:BD6)</f>
        <v>65937</v>
      </c>
    </row>
    <row r="7" spans="1:59" s="15" customFormat="1" ht="18.75" customHeight="1" x14ac:dyDescent="0.4">
      <c r="A7" s="24" t="s">
        <v>70</v>
      </c>
      <c r="B7" s="19">
        <f>SUM(L7,P7,U7,W7,AA7,AE7,AN7,AS7,AZ7,BE7)</f>
        <v>5103319</v>
      </c>
      <c r="C7" s="23">
        <v>0</v>
      </c>
      <c r="D7" s="21">
        <v>0</v>
      </c>
      <c r="E7" s="21">
        <v>0</v>
      </c>
      <c r="F7" s="21">
        <v>0</v>
      </c>
      <c r="G7" s="23">
        <v>0</v>
      </c>
      <c r="H7" s="21">
        <v>0</v>
      </c>
      <c r="I7" s="21">
        <v>0</v>
      </c>
      <c r="J7" s="23">
        <v>0</v>
      </c>
      <c r="K7" s="21">
        <v>0</v>
      </c>
      <c r="L7" s="19">
        <f>SUM(C7:K7)</f>
        <v>0</v>
      </c>
      <c r="M7" s="20">
        <v>4561525</v>
      </c>
      <c r="N7" s="21">
        <v>0</v>
      </c>
      <c r="O7" s="20">
        <v>135984</v>
      </c>
      <c r="P7" s="22">
        <f>SUM(M7:O7)</f>
        <v>4697509</v>
      </c>
      <c r="Q7" s="21">
        <v>0</v>
      </c>
      <c r="R7" s="21">
        <v>0</v>
      </c>
      <c r="S7" s="21">
        <v>0</v>
      </c>
      <c r="T7" s="21">
        <v>0</v>
      </c>
      <c r="U7" s="19">
        <f>SUM(Q7:T7)</f>
        <v>0</v>
      </c>
      <c r="V7" s="21">
        <v>0</v>
      </c>
      <c r="W7" s="19">
        <f>SUM(V7)</f>
        <v>0</v>
      </c>
      <c r="X7" s="20">
        <v>329522</v>
      </c>
      <c r="Y7" s="21">
        <v>0</v>
      </c>
      <c r="Z7" s="21">
        <v>0</v>
      </c>
      <c r="AA7" s="19">
        <f>SUM(X7:Z7)</f>
        <v>329522</v>
      </c>
      <c r="AB7" s="21">
        <v>0</v>
      </c>
      <c r="AC7" s="21">
        <v>0</v>
      </c>
      <c r="AD7" s="21">
        <v>0</v>
      </c>
      <c r="AE7" s="19">
        <f>SUM(AB7:AD7)</f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0">
        <v>3336</v>
      </c>
      <c r="AM7" s="23">
        <v>0</v>
      </c>
      <c r="AN7" s="19">
        <f>SUM(AF7:AM7)</f>
        <v>3336</v>
      </c>
      <c r="AO7" s="20">
        <v>1884</v>
      </c>
      <c r="AP7" s="21">
        <v>0</v>
      </c>
      <c r="AQ7" s="21">
        <v>0</v>
      </c>
      <c r="AR7" s="21">
        <v>0</v>
      </c>
      <c r="AS7" s="19">
        <f>SUM(AO7:AR7)</f>
        <v>1884</v>
      </c>
      <c r="AT7" s="21">
        <v>0</v>
      </c>
      <c r="AU7" s="20">
        <v>19594</v>
      </c>
      <c r="AV7" s="20">
        <v>128</v>
      </c>
      <c r="AW7" s="21">
        <v>0</v>
      </c>
      <c r="AX7" s="21">
        <v>0</v>
      </c>
      <c r="AY7" s="20">
        <v>703</v>
      </c>
      <c r="AZ7" s="19">
        <f>SUM(AT7:AY7)</f>
        <v>20425</v>
      </c>
      <c r="BA7" s="20">
        <v>50600</v>
      </c>
      <c r="BB7" s="21">
        <v>0</v>
      </c>
      <c r="BC7" s="21">
        <v>0</v>
      </c>
      <c r="BD7" s="20">
        <v>43</v>
      </c>
      <c r="BE7" s="19">
        <f>SUM(BA7:BD7)</f>
        <v>50643</v>
      </c>
    </row>
    <row r="8" spans="1:59" s="15" customFormat="1" ht="18.75" customHeight="1" x14ac:dyDescent="0.4">
      <c r="A8" s="24" t="s">
        <v>71</v>
      </c>
      <c r="B8" s="19">
        <f>SUM(L8,P8,U8,W8,AA8,AE8,AN8,AS8,AZ8,BE8)</f>
        <v>21890</v>
      </c>
      <c r="C8" s="23">
        <v>0</v>
      </c>
      <c r="D8" s="21">
        <v>0</v>
      </c>
      <c r="E8" s="21">
        <v>0</v>
      </c>
      <c r="F8" s="21">
        <v>0</v>
      </c>
      <c r="G8" s="23">
        <v>0</v>
      </c>
      <c r="H8" s="21">
        <v>0</v>
      </c>
      <c r="I8" s="21">
        <v>0</v>
      </c>
      <c r="J8" s="23">
        <v>0</v>
      </c>
      <c r="K8" s="21">
        <v>0</v>
      </c>
      <c r="L8" s="19">
        <f>SUM(C8:K8)</f>
        <v>0</v>
      </c>
      <c r="M8" s="23">
        <v>0</v>
      </c>
      <c r="N8" s="21">
        <v>0</v>
      </c>
      <c r="O8" s="23">
        <v>0</v>
      </c>
      <c r="P8" s="22">
        <f>SUM(M8:O8)</f>
        <v>0</v>
      </c>
      <c r="Q8" s="21">
        <v>0</v>
      </c>
      <c r="R8" s="21">
        <v>0</v>
      </c>
      <c r="S8" s="21">
        <v>0</v>
      </c>
      <c r="T8" s="21">
        <v>0</v>
      </c>
      <c r="U8" s="19">
        <f>SUM(Q8:T8)</f>
        <v>0</v>
      </c>
      <c r="V8" s="21">
        <v>0</v>
      </c>
      <c r="W8" s="19">
        <f>SUM(V8)</f>
        <v>0</v>
      </c>
      <c r="X8" s="23">
        <v>0</v>
      </c>
      <c r="Y8" s="21">
        <v>0</v>
      </c>
      <c r="Z8" s="21">
        <v>0</v>
      </c>
      <c r="AA8" s="19">
        <f>SUM(X8:Z8)</f>
        <v>0</v>
      </c>
      <c r="AB8" s="21">
        <v>0</v>
      </c>
      <c r="AC8" s="21">
        <v>0</v>
      </c>
      <c r="AD8" s="21">
        <v>0</v>
      </c>
      <c r="AE8" s="19">
        <f>SUM(AB8:AD8)</f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0">
        <v>3978</v>
      </c>
      <c r="AM8" s="23">
        <v>0</v>
      </c>
      <c r="AN8" s="19">
        <f>SUM(AF8:AM8)</f>
        <v>3978</v>
      </c>
      <c r="AO8" s="21">
        <v>0</v>
      </c>
      <c r="AP8" s="20">
        <v>1973</v>
      </c>
      <c r="AQ8" s="21">
        <v>0</v>
      </c>
      <c r="AR8" s="21">
        <v>0</v>
      </c>
      <c r="AS8" s="19">
        <f>SUM(AO8:AR8)</f>
        <v>1973</v>
      </c>
      <c r="AT8" s="21">
        <v>0</v>
      </c>
      <c r="AU8" s="20">
        <v>3802</v>
      </c>
      <c r="AV8" s="20">
        <v>465</v>
      </c>
      <c r="AW8" s="21">
        <v>0</v>
      </c>
      <c r="AX8" s="21">
        <v>0</v>
      </c>
      <c r="AY8" s="20">
        <v>122</v>
      </c>
      <c r="AZ8" s="19">
        <f>SUM(AT8:AY8)</f>
        <v>4389</v>
      </c>
      <c r="BA8" s="20">
        <v>11550</v>
      </c>
      <c r="BB8" s="21">
        <v>0</v>
      </c>
      <c r="BC8" s="21">
        <v>0</v>
      </c>
      <c r="BD8" s="23">
        <v>0</v>
      </c>
      <c r="BE8" s="19">
        <f>SUM(BA8:BD8)</f>
        <v>11550</v>
      </c>
    </row>
    <row r="9" spans="1:59" s="25" customFormat="1" ht="18.75" customHeight="1" x14ac:dyDescent="0.4">
      <c r="A9" s="24" t="s">
        <v>72</v>
      </c>
      <c r="B9" s="19">
        <f t="shared" ref="B9:B40" si="0">SUM(L9,P9,U9,W9,AA9,AE9,AN9,AS9,AZ9,BE9)</f>
        <v>168100</v>
      </c>
      <c r="C9" s="20">
        <v>140527</v>
      </c>
      <c r="D9" s="21">
        <v>0</v>
      </c>
      <c r="E9" s="21">
        <v>0</v>
      </c>
      <c r="F9" s="21">
        <v>0</v>
      </c>
      <c r="G9" s="23">
        <v>0</v>
      </c>
      <c r="H9" s="21">
        <v>0</v>
      </c>
      <c r="I9" s="21">
        <v>0</v>
      </c>
      <c r="J9" s="23">
        <v>0</v>
      </c>
      <c r="K9" s="21">
        <v>0</v>
      </c>
      <c r="L9" s="19">
        <f t="shared" ref="L9:L40" si="1">SUM(C9:K9)</f>
        <v>140527</v>
      </c>
      <c r="M9" s="23">
        <v>0</v>
      </c>
      <c r="N9" s="21">
        <v>0</v>
      </c>
      <c r="O9" s="23">
        <v>0</v>
      </c>
      <c r="P9" s="22">
        <f t="shared" ref="P9:P40" si="2">SUM(M9:O9)</f>
        <v>0</v>
      </c>
      <c r="Q9" s="21">
        <v>0</v>
      </c>
      <c r="R9" s="21">
        <v>0</v>
      </c>
      <c r="S9" s="21">
        <v>0</v>
      </c>
      <c r="T9" s="21">
        <v>0</v>
      </c>
      <c r="U9" s="19">
        <f t="shared" ref="U9:U40" si="3">SUM(Q9:T9)</f>
        <v>0</v>
      </c>
      <c r="V9" s="21">
        <v>0</v>
      </c>
      <c r="W9" s="19">
        <f t="shared" ref="W9:W40" si="4">SUM(V9)</f>
        <v>0</v>
      </c>
      <c r="X9" s="23">
        <v>0</v>
      </c>
      <c r="Y9" s="21">
        <v>0</v>
      </c>
      <c r="Z9" s="21">
        <v>0</v>
      </c>
      <c r="AA9" s="19">
        <f t="shared" ref="AA9:AA40" si="5">SUM(X9:Z9)</f>
        <v>0</v>
      </c>
      <c r="AB9" s="21">
        <v>0</v>
      </c>
      <c r="AC9" s="21">
        <v>0</v>
      </c>
      <c r="AD9" s="21">
        <v>0</v>
      </c>
      <c r="AE9" s="19">
        <f t="shared" ref="AE9:AE40" si="6">SUM(AB9:AD9)</f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0">
        <v>4697</v>
      </c>
      <c r="AM9" s="23">
        <v>0</v>
      </c>
      <c r="AN9" s="19">
        <f t="shared" ref="AN9:AN40" si="7">SUM(AF9:AM9)</f>
        <v>4697</v>
      </c>
      <c r="AO9" s="20">
        <v>1560</v>
      </c>
      <c r="AP9" s="21">
        <v>0</v>
      </c>
      <c r="AQ9" s="21">
        <v>0</v>
      </c>
      <c r="AR9" s="21">
        <v>0</v>
      </c>
      <c r="AS9" s="19">
        <f t="shared" ref="AS9:AS40" si="8">SUM(AO9:AR9)</f>
        <v>1560</v>
      </c>
      <c r="AT9" s="21">
        <v>0</v>
      </c>
      <c r="AU9" s="20">
        <v>3442</v>
      </c>
      <c r="AV9" s="23">
        <v>0</v>
      </c>
      <c r="AW9" s="21">
        <v>0</v>
      </c>
      <c r="AX9" s="21">
        <v>0</v>
      </c>
      <c r="AY9" s="20">
        <v>424</v>
      </c>
      <c r="AZ9" s="19">
        <f t="shared" ref="AZ9:AZ40" si="9">SUM(AT9:AY9)</f>
        <v>3866</v>
      </c>
      <c r="BA9" s="20">
        <v>17450</v>
      </c>
      <c r="BB9" s="21">
        <v>0</v>
      </c>
      <c r="BC9" s="21">
        <v>0</v>
      </c>
      <c r="BD9" s="21">
        <v>0</v>
      </c>
      <c r="BE9" s="19">
        <f t="shared" ref="BE9:BE40" si="10">SUM(BA9:BD9)</f>
        <v>17450</v>
      </c>
    </row>
    <row r="10" spans="1:59" s="25" customFormat="1" ht="18.75" customHeight="1" x14ac:dyDescent="0.4">
      <c r="A10" s="24" t="s">
        <v>73</v>
      </c>
      <c r="B10" s="19">
        <f t="shared" si="0"/>
        <v>10449</v>
      </c>
      <c r="C10" s="23">
        <v>0</v>
      </c>
      <c r="D10" s="21">
        <v>0</v>
      </c>
      <c r="E10" s="21">
        <v>0</v>
      </c>
      <c r="F10" s="21">
        <v>0</v>
      </c>
      <c r="G10" s="23">
        <v>0</v>
      </c>
      <c r="H10" s="21">
        <v>0</v>
      </c>
      <c r="I10" s="21">
        <v>0</v>
      </c>
      <c r="J10" s="23">
        <v>0</v>
      </c>
      <c r="K10" s="21">
        <v>0</v>
      </c>
      <c r="L10" s="19">
        <f t="shared" si="1"/>
        <v>0</v>
      </c>
      <c r="M10" s="23">
        <v>0</v>
      </c>
      <c r="N10" s="21">
        <v>0</v>
      </c>
      <c r="O10" s="23">
        <v>0</v>
      </c>
      <c r="P10" s="22">
        <f t="shared" si="2"/>
        <v>0</v>
      </c>
      <c r="Q10" s="21">
        <v>0</v>
      </c>
      <c r="R10" s="21">
        <v>0</v>
      </c>
      <c r="S10" s="21">
        <v>0</v>
      </c>
      <c r="T10" s="21">
        <v>0</v>
      </c>
      <c r="U10" s="19">
        <f t="shared" si="3"/>
        <v>0</v>
      </c>
      <c r="V10" s="21">
        <v>0</v>
      </c>
      <c r="W10" s="19">
        <f t="shared" si="4"/>
        <v>0</v>
      </c>
      <c r="X10" s="23">
        <v>0</v>
      </c>
      <c r="Y10" s="21">
        <v>0</v>
      </c>
      <c r="Z10" s="21">
        <v>0</v>
      </c>
      <c r="AA10" s="19">
        <f t="shared" si="5"/>
        <v>0</v>
      </c>
      <c r="AB10" s="21">
        <v>0</v>
      </c>
      <c r="AC10" s="21">
        <v>0</v>
      </c>
      <c r="AD10" s="21">
        <v>0</v>
      </c>
      <c r="AE10" s="19">
        <f t="shared" si="6"/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0">
        <v>10406</v>
      </c>
      <c r="AM10" s="23">
        <v>0</v>
      </c>
      <c r="AN10" s="19">
        <f t="shared" si="7"/>
        <v>10406</v>
      </c>
      <c r="AO10" s="21">
        <v>0</v>
      </c>
      <c r="AP10" s="21">
        <v>0</v>
      </c>
      <c r="AQ10" s="21">
        <v>0</v>
      </c>
      <c r="AR10" s="21">
        <v>0</v>
      </c>
      <c r="AS10" s="19">
        <f t="shared" si="8"/>
        <v>0</v>
      </c>
      <c r="AT10" s="21">
        <v>0</v>
      </c>
      <c r="AU10" s="23">
        <v>0</v>
      </c>
      <c r="AV10" s="23">
        <v>0</v>
      </c>
      <c r="AW10" s="21">
        <v>0</v>
      </c>
      <c r="AX10" s="21">
        <v>0</v>
      </c>
      <c r="AY10" s="23">
        <v>0</v>
      </c>
      <c r="AZ10" s="19">
        <f t="shared" si="9"/>
        <v>0</v>
      </c>
      <c r="BA10" s="23">
        <v>0</v>
      </c>
      <c r="BB10" s="21">
        <v>0</v>
      </c>
      <c r="BC10" s="21">
        <v>0</v>
      </c>
      <c r="BD10" s="20">
        <v>43</v>
      </c>
      <c r="BE10" s="19">
        <f t="shared" si="10"/>
        <v>43</v>
      </c>
    </row>
    <row r="11" spans="1:59" s="25" customFormat="1" ht="18.75" customHeight="1" x14ac:dyDescent="0.4">
      <c r="A11" s="24" t="s">
        <v>74</v>
      </c>
      <c r="B11" s="19">
        <f t="shared" si="0"/>
        <v>1870703</v>
      </c>
      <c r="C11" s="20">
        <v>881494</v>
      </c>
      <c r="D11" s="21">
        <v>0</v>
      </c>
      <c r="E11" s="21">
        <v>0</v>
      </c>
      <c r="F11" s="23">
        <v>0</v>
      </c>
      <c r="G11" s="23">
        <v>0</v>
      </c>
      <c r="H11" s="21">
        <v>0</v>
      </c>
      <c r="I11" s="23">
        <v>0</v>
      </c>
      <c r="J11" s="23">
        <v>0</v>
      </c>
      <c r="K11" s="21">
        <v>0</v>
      </c>
      <c r="L11" s="19">
        <f t="shared" si="1"/>
        <v>881494</v>
      </c>
      <c r="M11" s="23">
        <v>0</v>
      </c>
      <c r="N11" s="21">
        <v>0</v>
      </c>
      <c r="O11" s="23">
        <v>0</v>
      </c>
      <c r="P11" s="22">
        <f t="shared" si="2"/>
        <v>0</v>
      </c>
      <c r="Q11" s="21">
        <v>0</v>
      </c>
      <c r="R11" s="21">
        <v>0</v>
      </c>
      <c r="S11" s="21">
        <v>0</v>
      </c>
      <c r="T11" s="21">
        <v>0</v>
      </c>
      <c r="U11" s="19">
        <f t="shared" si="3"/>
        <v>0</v>
      </c>
      <c r="V11" s="21">
        <v>0</v>
      </c>
      <c r="W11" s="19">
        <f t="shared" si="4"/>
        <v>0</v>
      </c>
      <c r="X11" s="23">
        <v>0</v>
      </c>
      <c r="Y11" s="21">
        <v>0</v>
      </c>
      <c r="Z11" s="21">
        <v>0</v>
      </c>
      <c r="AA11" s="19">
        <f t="shared" si="5"/>
        <v>0</v>
      </c>
      <c r="AB11" s="21">
        <v>0</v>
      </c>
      <c r="AC11" s="20">
        <v>933012</v>
      </c>
      <c r="AD11" s="21">
        <v>0</v>
      </c>
      <c r="AE11" s="19">
        <f t="shared" si="6"/>
        <v>933012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0">
        <v>268</v>
      </c>
      <c r="AM11" s="20">
        <v>54279</v>
      </c>
      <c r="AN11" s="19">
        <f t="shared" si="7"/>
        <v>54547</v>
      </c>
      <c r="AO11" s="21">
        <v>0</v>
      </c>
      <c r="AP11" s="21">
        <v>0</v>
      </c>
      <c r="AQ11" s="21">
        <v>0</v>
      </c>
      <c r="AR11" s="21">
        <v>0</v>
      </c>
      <c r="AS11" s="19">
        <f t="shared" si="8"/>
        <v>0</v>
      </c>
      <c r="AT11" s="21">
        <v>0</v>
      </c>
      <c r="AU11" s="23">
        <v>0</v>
      </c>
      <c r="AV11" s="23">
        <v>0</v>
      </c>
      <c r="AW11" s="21">
        <v>0</v>
      </c>
      <c r="AX11" s="21">
        <v>0</v>
      </c>
      <c r="AY11" s="23">
        <v>0</v>
      </c>
      <c r="AZ11" s="19">
        <f t="shared" si="9"/>
        <v>0</v>
      </c>
      <c r="BA11" s="20">
        <v>1650</v>
      </c>
      <c r="BB11" s="23">
        <v>0</v>
      </c>
      <c r="BC11" s="21">
        <v>0</v>
      </c>
      <c r="BD11" s="21">
        <v>0</v>
      </c>
      <c r="BE11" s="19">
        <f t="shared" si="10"/>
        <v>1650</v>
      </c>
    </row>
    <row r="12" spans="1:59" s="25" customFormat="1" ht="18.75" customHeight="1" x14ac:dyDescent="0.4">
      <c r="A12" s="24" t="s">
        <v>75</v>
      </c>
      <c r="B12" s="19">
        <f t="shared" si="0"/>
        <v>9933</v>
      </c>
      <c r="C12" s="23">
        <v>0</v>
      </c>
      <c r="D12" s="21">
        <v>0</v>
      </c>
      <c r="E12" s="21">
        <v>0</v>
      </c>
      <c r="F12" s="21">
        <v>0</v>
      </c>
      <c r="G12" s="23">
        <v>0</v>
      </c>
      <c r="H12" s="21">
        <v>0</v>
      </c>
      <c r="I12" s="21">
        <v>0</v>
      </c>
      <c r="J12" s="23">
        <v>0</v>
      </c>
      <c r="K12" s="21">
        <v>0</v>
      </c>
      <c r="L12" s="19">
        <f t="shared" si="1"/>
        <v>0</v>
      </c>
      <c r="M12" s="23">
        <v>0</v>
      </c>
      <c r="N12" s="21">
        <v>0</v>
      </c>
      <c r="O12" s="23">
        <v>0</v>
      </c>
      <c r="P12" s="22">
        <f t="shared" si="2"/>
        <v>0</v>
      </c>
      <c r="Q12" s="21">
        <v>0</v>
      </c>
      <c r="R12" s="21">
        <v>0</v>
      </c>
      <c r="S12" s="21">
        <v>0</v>
      </c>
      <c r="T12" s="21">
        <v>0</v>
      </c>
      <c r="U12" s="19">
        <f t="shared" si="3"/>
        <v>0</v>
      </c>
      <c r="V12" s="21">
        <v>0</v>
      </c>
      <c r="W12" s="19">
        <f t="shared" si="4"/>
        <v>0</v>
      </c>
      <c r="X12" s="23">
        <v>0</v>
      </c>
      <c r="Y12" s="21">
        <v>0</v>
      </c>
      <c r="Z12" s="21">
        <v>0</v>
      </c>
      <c r="AA12" s="19">
        <f t="shared" si="5"/>
        <v>0</v>
      </c>
      <c r="AB12" s="21">
        <v>0</v>
      </c>
      <c r="AC12" s="21">
        <v>0</v>
      </c>
      <c r="AD12" s="21">
        <v>0</v>
      </c>
      <c r="AE12" s="19">
        <f t="shared" si="6"/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0">
        <v>916</v>
      </c>
      <c r="AM12" s="23">
        <v>0</v>
      </c>
      <c r="AN12" s="19">
        <f t="shared" si="7"/>
        <v>916</v>
      </c>
      <c r="AO12" s="21">
        <v>0</v>
      </c>
      <c r="AP12" s="20">
        <v>3516</v>
      </c>
      <c r="AQ12" s="20">
        <v>950</v>
      </c>
      <c r="AR12" s="21">
        <v>0</v>
      </c>
      <c r="AS12" s="19">
        <f t="shared" si="8"/>
        <v>4466</v>
      </c>
      <c r="AT12" s="21">
        <v>0</v>
      </c>
      <c r="AU12" s="20">
        <v>4151</v>
      </c>
      <c r="AV12" s="23">
        <v>0</v>
      </c>
      <c r="AW12" s="21">
        <v>0</v>
      </c>
      <c r="AX12" s="21">
        <v>0</v>
      </c>
      <c r="AY12" s="20">
        <v>400</v>
      </c>
      <c r="AZ12" s="19">
        <f t="shared" si="9"/>
        <v>4551</v>
      </c>
      <c r="BA12" s="23">
        <v>0</v>
      </c>
      <c r="BB12" s="21">
        <v>0</v>
      </c>
      <c r="BC12" s="21">
        <v>0</v>
      </c>
      <c r="BD12" s="21">
        <v>0</v>
      </c>
      <c r="BE12" s="19">
        <f t="shared" si="10"/>
        <v>0</v>
      </c>
    </row>
    <row r="13" spans="1:59" s="25" customFormat="1" ht="18.75" customHeight="1" x14ac:dyDescent="0.4">
      <c r="A13" s="24" t="s">
        <v>76</v>
      </c>
      <c r="B13" s="19">
        <f t="shared" si="0"/>
        <v>12852</v>
      </c>
      <c r="C13" s="23">
        <v>0</v>
      </c>
      <c r="D13" s="21">
        <v>0</v>
      </c>
      <c r="E13" s="21">
        <v>0</v>
      </c>
      <c r="F13" s="21">
        <v>0</v>
      </c>
      <c r="G13" s="23">
        <v>0</v>
      </c>
      <c r="H13" s="21">
        <v>0</v>
      </c>
      <c r="I13" s="21">
        <v>0</v>
      </c>
      <c r="J13" s="23">
        <v>0</v>
      </c>
      <c r="K13" s="21">
        <v>0</v>
      </c>
      <c r="L13" s="19">
        <f t="shared" si="1"/>
        <v>0</v>
      </c>
      <c r="M13" s="23">
        <v>0</v>
      </c>
      <c r="N13" s="21">
        <v>0</v>
      </c>
      <c r="O13" s="20">
        <v>480</v>
      </c>
      <c r="P13" s="22">
        <f t="shared" si="2"/>
        <v>480</v>
      </c>
      <c r="Q13" s="21">
        <v>0</v>
      </c>
      <c r="R13" s="21">
        <v>0</v>
      </c>
      <c r="S13" s="21">
        <v>0</v>
      </c>
      <c r="T13" s="21">
        <v>0</v>
      </c>
      <c r="U13" s="19">
        <f t="shared" si="3"/>
        <v>0</v>
      </c>
      <c r="V13" s="21">
        <v>0</v>
      </c>
      <c r="W13" s="19">
        <f t="shared" si="4"/>
        <v>0</v>
      </c>
      <c r="X13" s="23">
        <v>0</v>
      </c>
      <c r="Y13" s="21">
        <v>0</v>
      </c>
      <c r="Z13" s="21">
        <v>0</v>
      </c>
      <c r="AA13" s="19">
        <f t="shared" si="5"/>
        <v>0</v>
      </c>
      <c r="AB13" s="21">
        <v>0</v>
      </c>
      <c r="AC13" s="21">
        <v>0</v>
      </c>
      <c r="AD13" s="21">
        <v>0</v>
      </c>
      <c r="AE13" s="19">
        <f t="shared" si="6"/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0">
        <v>181</v>
      </c>
      <c r="AM13" s="23">
        <v>0</v>
      </c>
      <c r="AN13" s="19">
        <f t="shared" si="7"/>
        <v>181</v>
      </c>
      <c r="AO13" s="21">
        <v>0</v>
      </c>
      <c r="AP13" s="20">
        <v>2364</v>
      </c>
      <c r="AQ13" s="20">
        <v>2166</v>
      </c>
      <c r="AR13" s="20">
        <v>7203</v>
      </c>
      <c r="AS13" s="19">
        <f t="shared" si="8"/>
        <v>11733</v>
      </c>
      <c r="AT13" s="21">
        <v>0</v>
      </c>
      <c r="AU13" s="20">
        <v>382</v>
      </c>
      <c r="AV13" s="20">
        <v>76</v>
      </c>
      <c r="AW13" s="21">
        <v>0</v>
      </c>
      <c r="AX13" s="21">
        <v>0</v>
      </c>
      <c r="AY13" s="23">
        <v>0</v>
      </c>
      <c r="AZ13" s="19">
        <f t="shared" si="9"/>
        <v>458</v>
      </c>
      <c r="BA13" s="23">
        <v>0</v>
      </c>
      <c r="BB13" s="21">
        <v>0</v>
      </c>
      <c r="BC13" s="21">
        <v>0</v>
      </c>
      <c r="BD13" s="21">
        <v>0</v>
      </c>
      <c r="BE13" s="19">
        <f t="shared" si="10"/>
        <v>0</v>
      </c>
    </row>
    <row r="14" spans="1:59" s="25" customFormat="1" ht="18.75" customHeight="1" x14ac:dyDescent="0.4">
      <c r="A14" s="24" t="s">
        <v>77</v>
      </c>
      <c r="B14" s="19">
        <f t="shared" si="0"/>
        <v>8931</v>
      </c>
      <c r="C14" s="23">
        <v>0</v>
      </c>
      <c r="D14" s="21">
        <v>0</v>
      </c>
      <c r="E14" s="21">
        <v>0</v>
      </c>
      <c r="F14" s="21">
        <v>0</v>
      </c>
      <c r="G14" s="23">
        <v>0</v>
      </c>
      <c r="H14" s="21">
        <v>0</v>
      </c>
      <c r="I14" s="21">
        <v>0</v>
      </c>
      <c r="J14" s="23">
        <v>0</v>
      </c>
      <c r="K14" s="21">
        <v>0</v>
      </c>
      <c r="L14" s="19">
        <f t="shared" si="1"/>
        <v>0</v>
      </c>
      <c r="M14" s="23">
        <v>0</v>
      </c>
      <c r="N14" s="21">
        <v>0</v>
      </c>
      <c r="O14" s="23">
        <v>0</v>
      </c>
      <c r="P14" s="22">
        <f t="shared" si="2"/>
        <v>0</v>
      </c>
      <c r="Q14" s="21">
        <v>0</v>
      </c>
      <c r="R14" s="21">
        <v>0</v>
      </c>
      <c r="S14" s="21">
        <v>0</v>
      </c>
      <c r="T14" s="21">
        <v>0</v>
      </c>
      <c r="U14" s="19">
        <f t="shared" si="3"/>
        <v>0</v>
      </c>
      <c r="V14" s="21">
        <v>0</v>
      </c>
      <c r="W14" s="19">
        <f t="shared" si="4"/>
        <v>0</v>
      </c>
      <c r="X14" s="23">
        <v>0</v>
      </c>
      <c r="Y14" s="21">
        <v>0</v>
      </c>
      <c r="Z14" s="21">
        <v>0</v>
      </c>
      <c r="AA14" s="19">
        <f t="shared" si="5"/>
        <v>0</v>
      </c>
      <c r="AB14" s="21">
        <v>0</v>
      </c>
      <c r="AC14" s="21">
        <v>0</v>
      </c>
      <c r="AD14" s="21">
        <v>0</v>
      </c>
      <c r="AE14" s="19">
        <f t="shared" si="6"/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3">
        <v>0</v>
      </c>
      <c r="AM14" s="23">
        <v>0</v>
      </c>
      <c r="AN14" s="19">
        <f t="shared" si="7"/>
        <v>0</v>
      </c>
      <c r="AO14" s="21">
        <v>0</v>
      </c>
      <c r="AP14" s="20">
        <v>8340</v>
      </c>
      <c r="AQ14" s="20">
        <v>591</v>
      </c>
      <c r="AR14" s="21">
        <v>0</v>
      </c>
      <c r="AS14" s="19">
        <f t="shared" si="8"/>
        <v>8931</v>
      </c>
      <c r="AT14" s="21">
        <v>0</v>
      </c>
      <c r="AU14" s="23">
        <v>0</v>
      </c>
      <c r="AV14" s="23">
        <v>0</v>
      </c>
      <c r="AW14" s="21">
        <v>0</v>
      </c>
      <c r="AX14" s="21">
        <v>0</v>
      </c>
      <c r="AY14" s="23">
        <v>0</v>
      </c>
      <c r="AZ14" s="19">
        <f t="shared" si="9"/>
        <v>0</v>
      </c>
      <c r="BA14" s="23">
        <v>0</v>
      </c>
      <c r="BB14" s="21">
        <v>0</v>
      </c>
      <c r="BC14" s="21">
        <v>0</v>
      </c>
      <c r="BD14" s="21">
        <v>0</v>
      </c>
      <c r="BE14" s="19">
        <f t="shared" si="10"/>
        <v>0</v>
      </c>
    </row>
    <row r="15" spans="1:59" s="25" customFormat="1" ht="18.75" customHeight="1" x14ac:dyDescent="0.4">
      <c r="A15" s="24" t="s">
        <v>78</v>
      </c>
      <c r="B15" s="19">
        <f t="shared" si="0"/>
        <v>2286991</v>
      </c>
      <c r="C15" s="20">
        <v>2259828</v>
      </c>
      <c r="D15" s="21">
        <v>0</v>
      </c>
      <c r="E15" s="21">
        <v>0</v>
      </c>
      <c r="F15" s="21">
        <v>0</v>
      </c>
      <c r="G15" s="23">
        <v>0</v>
      </c>
      <c r="H15" s="21">
        <v>0</v>
      </c>
      <c r="I15" s="21">
        <v>0</v>
      </c>
      <c r="J15" s="23">
        <v>0</v>
      </c>
      <c r="K15" s="21">
        <v>0</v>
      </c>
      <c r="L15" s="19">
        <f t="shared" si="1"/>
        <v>2259828</v>
      </c>
      <c r="M15" s="23">
        <v>0</v>
      </c>
      <c r="N15" s="21">
        <v>0</v>
      </c>
      <c r="O15" s="23">
        <v>0</v>
      </c>
      <c r="P15" s="22">
        <f t="shared" si="2"/>
        <v>0</v>
      </c>
      <c r="Q15" s="21">
        <v>0</v>
      </c>
      <c r="R15" s="21">
        <v>0</v>
      </c>
      <c r="S15" s="21">
        <v>0</v>
      </c>
      <c r="T15" s="21">
        <v>0</v>
      </c>
      <c r="U15" s="19">
        <f t="shared" si="3"/>
        <v>0</v>
      </c>
      <c r="V15" s="21">
        <v>0</v>
      </c>
      <c r="W15" s="19">
        <f t="shared" si="4"/>
        <v>0</v>
      </c>
      <c r="X15" s="23">
        <v>0</v>
      </c>
      <c r="Y15" s="21">
        <v>0</v>
      </c>
      <c r="Z15" s="21">
        <v>0</v>
      </c>
      <c r="AA15" s="19">
        <f t="shared" si="5"/>
        <v>0</v>
      </c>
      <c r="AB15" s="20">
        <v>1675</v>
      </c>
      <c r="AC15" s="21">
        <v>0</v>
      </c>
      <c r="AD15" s="21">
        <v>0</v>
      </c>
      <c r="AE15" s="19">
        <f t="shared" si="6"/>
        <v>1675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0">
        <v>708</v>
      </c>
      <c r="AM15" s="20">
        <v>22600</v>
      </c>
      <c r="AN15" s="19">
        <f t="shared" si="7"/>
        <v>23308</v>
      </c>
      <c r="AO15" s="21">
        <v>0</v>
      </c>
      <c r="AP15" s="21">
        <v>0</v>
      </c>
      <c r="AQ15" s="21">
        <v>0</v>
      </c>
      <c r="AR15" s="21">
        <v>0</v>
      </c>
      <c r="AS15" s="19">
        <f t="shared" si="8"/>
        <v>0</v>
      </c>
      <c r="AT15" s="21">
        <v>0</v>
      </c>
      <c r="AU15" s="20">
        <v>2180</v>
      </c>
      <c r="AV15" s="23">
        <v>0</v>
      </c>
      <c r="AW15" s="21">
        <v>0</v>
      </c>
      <c r="AX15" s="21">
        <v>0</v>
      </c>
      <c r="AY15" s="23">
        <v>0</v>
      </c>
      <c r="AZ15" s="19">
        <f t="shared" si="9"/>
        <v>2180</v>
      </c>
      <c r="BA15" s="23">
        <v>0</v>
      </c>
      <c r="BB15" s="21">
        <v>0</v>
      </c>
      <c r="BC15" s="21">
        <v>0</v>
      </c>
      <c r="BD15" s="21">
        <v>0</v>
      </c>
      <c r="BE15" s="19">
        <f t="shared" si="10"/>
        <v>0</v>
      </c>
    </row>
    <row r="16" spans="1:59" s="25" customFormat="1" ht="18.75" customHeight="1" x14ac:dyDescent="0.4">
      <c r="A16" s="24" t="s">
        <v>79</v>
      </c>
      <c r="B16" s="19">
        <f t="shared" si="0"/>
        <v>120036</v>
      </c>
      <c r="C16" s="23">
        <v>0</v>
      </c>
      <c r="D16" s="21">
        <v>0</v>
      </c>
      <c r="E16" s="21">
        <v>0</v>
      </c>
      <c r="F16" s="20">
        <v>120036</v>
      </c>
      <c r="G16" s="23">
        <v>0</v>
      </c>
      <c r="H16" s="21">
        <v>0</v>
      </c>
      <c r="I16" s="21">
        <v>0</v>
      </c>
      <c r="J16" s="23">
        <v>0</v>
      </c>
      <c r="K16" s="21">
        <v>0</v>
      </c>
      <c r="L16" s="19">
        <f t="shared" si="1"/>
        <v>120036</v>
      </c>
      <c r="M16" s="23">
        <v>0</v>
      </c>
      <c r="N16" s="21">
        <v>0</v>
      </c>
      <c r="O16" s="23">
        <v>0</v>
      </c>
      <c r="P16" s="22">
        <f t="shared" si="2"/>
        <v>0</v>
      </c>
      <c r="Q16" s="21">
        <v>0</v>
      </c>
      <c r="R16" s="21">
        <v>0</v>
      </c>
      <c r="S16" s="21">
        <v>0</v>
      </c>
      <c r="T16" s="21">
        <v>0</v>
      </c>
      <c r="U16" s="19">
        <f t="shared" si="3"/>
        <v>0</v>
      </c>
      <c r="V16" s="21">
        <v>0</v>
      </c>
      <c r="W16" s="19">
        <f t="shared" si="4"/>
        <v>0</v>
      </c>
      <c r="X16" s="23">
        <v>0</v>
      </c>
      <c r="Y16" s="21">
        <v>0</v>
      </c>
      <c r="Z16" s="21">
        <v>0</v>
      </c>
      <c r="AA16" s="19">
        <f t="shared" si="5"/>
        <v>0</v>
      </c>
      <c r="AB16" s="21">
        <v>0</v>
      </c>
      <c r="AC16" s="21">
        <v>0</v>
      </c>
      <c r="AD16" s="21">
        <v>0</v>
      </c>
      <c r="AE16" s="19">
        <f t="shared" si="6"/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3">
        <v>0</v>
      </c>
      <c r="AM16" s="23">
        <v>0</v>
      </c>
      <c r="AN16" s="19">
        <f t="shared" si="7"/>
        <v>0</v>
      </c>
      <c r="AO16" s="21">
        <v>0</v>
      </c>
      <c r="AP16" s="21">
        <v>0</v>
      </c>
      <c r="AQ16" s="21">
        <v>0</v>
      </c>
      <c r="AR16" s="21">
        <v>0</v>
      </c>
      <c r="AS16" s="19">
        <f t="shared" si="8"/>
        <v>0</v>
      </c>
      <c r="AT16" s="21">
        <v>0</v>
      </c>
      <c r="AU16" s="23">
        <v>0</v>
      </c>
      <c r="AV16" s="23">
        <v>0</v>
      </c>
      <c r="AW16" s="21">
        <v>0</v>
      </c>
      <c r="AX16" s="21">
        <v>0</v>
      </c>
      <c r="AY16" s="23">
        <v>0</v>
      </c>
      <c r="AZ16" s="19">
        <f t="shared" si="9"/>
        <v>0</v>
      </c>
      <c r="BA16" s="23">
        <v>0</v>
      </c>
      <c r="BB16" s="21">
        <v>0</v>
      </c>
      <c r="BC16" s="21">
        <v>0</v>
      </c>
      <c r="BD16" s="21">
        <v>0</v>
      </c>
      <c r="BE16" s="19">
        <f t="shared" si="10"/>
        <v>0</v>
      </c>
    </row>
    <row r="17" spans="1:57" s="25" customFormat="1" ht="18.75" customHeight="1" x14ac:dyDescent="0.4">
      <c r="A17" s="24" t="s">
        <v>80</v>
      </c>
      <c r="B17" s="19">
        <f t="shared" si="0"/>
        <v>1680</v>
      </c>
      <c r="C17" s="23">
        <v>0</v>
      </c>
      <c r="D17" s="21">
        <v>0</v>
      </c>
      <c r="E17" s="21">
        <v>0</v>
      </c>
      <c r="F17" s="21">
        <v>0</v>
      </c>
      <c r="G17" s="23">
        <v>0</v>
      </c>
      <c r="H17" s="21">
        <v>0</v>
      </c>
      <c r="I17" s="21">
        <v>0</v>
      </c>
      <c r="J17" s="23">
        <v>0</v>
      </c>
      <c r="K17" s="21">
        <v>0</v>
      </c>
      <c r="L17" s="19">
        <f t="shared" si="1"/>
        <v>0</v>
      </c>
      <c r="M17" s="23">
        <v>0</v>
      </c>
      <c r="N17" s="21">
        <v>0</v>
      </c>
      <c r="O17" s="23">
        <v>0</v>
      </c>
      <c r="P17" s="22">
        <f t="shared" si="2"/>
        <v>0</v>
      </c>
      <c r="Q17" s="21">
        <v>0</v>
      </c>
      <c r="R17" s="21">
        <v>0</v>
      </c>
      <c r="S17" s="21">
        <v>0</v>
      </c>
      <c r="T17" s="21">
        <v>0</v>
      </c>
      <c r="U17" s="19">
        <f t="shared" si="3"/>
        <v>0</v>
      </c>
      <c r="V17" s="21">
        <v>0</v>
      </c>
      <c r="W17" s="19">
        <f t="shared" si="4"/>
        <v>0</v>
      </c>
      <c r="X17" s="23">
        <v>0</v>
      </c>
      <c r="Y17" s="21">
        <v>0</v>
      </c>
      <c r="Z17" s="21">
        <v>0</v>
      </c>
      <c r="AA17" s="19">
        <f t="shared" si="5"/>
        <v>0</v>
      </c>
      <c r="AB17" s="21">
        <v>0</v>
      </c>
      <c r="AC17" s="21">
        <v>0</v>
      </c>
      <c r="AD17" s="21">
        <v>0</v>
      </c>
      <c r="AE17" s="19">
        <f t="shared" si="6"/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3">
        <v>0</v>
      </c>
      <c r="AM17" s="23">
        <v>0</v>
      </c>
      <c r="AN17" s="19">
        <f t="shared" si="7"/>
        <v>0</v>
      </c>
      <c r="AO17" s="21">
        <v>0</v>
      </c>
      <c r="AP17" s="21">
        <v>0</v>
      </c>
      <c r="AQ17" s="21">
        <v>0</v>
      </c>
      <c r="AR17" s="21">
        <v>0</v>
      </c>
      <c r="AS17" s="19">
        <f t="shared" si="8"/>
        <v>0</v>
      </c>
      <c r="AT17" s="21">
        <v>0</v>
      </c>
      <c r="AU17" s="20">
        <v>1486</v>
      </c>
      <c r="AV17" s="23">
        <v>0</v>
      </c>
      <c r="AW17" s="21">
        <v>0</v>
      </c>
      <c r="AX17" s="21">
        <v>0</v>
      </c>
      <c r="AY17" s="20">
        <v>194</v>
      </c>
      <c r="AZ17" s="19">
        <f t="shared" si="9"/>
        <v>1680</v>
      </c>
      <c r="BA17" s="23">
        <v>0</v>
      </c>
      <c r="BB17" s="21">
        <v>0</v>
      </c>
      <c r="BC17" s="21">
        <v>0</v>
      </c>
      <c r="BD17" s="21">
        <v>0</v>
      </c>
      <c r="BE17" s="19">
        <f t="shared" si="10"/>
        <v>0</v>
      </c>
    </row>
    <row r="18" spans="1:57" s="25" customFormat="1" ht="18.75" customHeight="1" x14ac:dyDescent="0.4">
      <c r="A18" s="24" t="s">
        <v>81</v>
      </c>
      <c r="B18" s="19">
        <f t="shared" si="0"/>
        <v>176795</v>
      </c>
      <c r="C18" s="20">
        <v>176795</v>
      </c>
      <c r="D18" s="21">
        <v>0</v>
      </c>
      <c r="E18" s="21">
        <v>0</v>
      </c>
      <c r="F18" s="21">
        <v>0</v>
      </c>
      <c r="G18" s="23">
        <v>0</v>
      </c>
      <c r="H18" s="21">
        <v>0</v>
      </c>
      <c r="I18" s="21">
        <v>0</v>
      </c>
      <c r="J18" s="23">
        <v>0</v>
      </c>
      <c r="K18" s="21">
        <v>0</v>
      </c>
      <c r="L18" s="19">
        <f t="shared" si="1"/>
        <v>176795</v>
      </c>
      <c r="M18" s="23">
        <v>0</v>
      </c>
      <c r="N18" s="21">
        <v>0</v>
      </c>
      <c r="O18" s="23">
        <v>0</v>
      </c>
      <c r="P18" s="22">
        <f t="shared" si="2"/>
        <v>0</v>
      </c>
      <c r="Q18" s="21">
        <v>0</v>
      </c>
      <c r="R18" s="21">
        <v>0</v>
      </c>
      <c r="S18" s="21">
        <v>0</v>
      </c>
      <c r="T18" s="21">
        <v>0</v>
      </c>
      <c r="U18" s="19">
        <f t="shared" si="3"/>
        <v>0</v>
      </c>
      <c r="V18" s="21">
        <v>0</v>
      </c>
      <c r="W18" s="19">
        <f t="shared" si="4"/>
        <v>0</v>
      </c>
      <c r="X18" s="23">
        <v>0</v>
      </c>
      <c r="Y18" s="21">
        <v>0</v>
      </c>
      <c r="Z18" s="21">
        <v>0</v>
      </c>
      <c r="AA18" s="19">
        <f t="shared" si="5"/>
        <v>0</v>
      </c>
      <c r="AB18" s="21">
        <v>0</v>
      </c>
      <c r="AC18" s="21">
        <v>0</v>
      </c>
      <c r="AD18" s="21">
        <v>0</v>
      </c>
      <c r="AE18" s="19">
        <f t="shared" si="6"/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3">
        <v>0</v>
      </c>
      <c r="AM18" s="23">
        <v>0</v>
      </c>
      <c r="AN18" s="19">
        <f t="shared" si="7"/>
        <v>0</v>
      </c>
      <c r="AO18" s="21">
        <v>0</v>
      </c>
      <c r="AP18" s="21">
        <v>0</v>
      </c>
      <c r="AQ18" s="21">
        <v>0</v>
      </c>
      <c r="AR18" s="21">
        <v>0</v>
      </c>
      <c r="AS18" s="19">
        <f t="shared" si="8"/>
        <v>0</v>
      </c>
      <c r="AT18" s="21">
        <v>0</v>
      </c>
      <c r="AU18" s="23">
        <v>0</v>
      </c>
      <c r="AV18" s="23">
        <v>0</v>
      </c>
      <c r="AW18" s="21">
        <v>0</v>
      </c>
      <c r="AX18" s="21">
        <v>0</v>
      </c>
      <c r="AY18" s="23">
        <v>0</v>
      </c>
      <c r="AZ18" s="19">
        <f t="shared" si="9"/>
        <v>0</v>
      </c>
      <c r="BA18" s="23">
        <v>0</v>
      </c>
      <c r="BB18" s="21">
        <v>0</v>
      </c>
      <c r="BC18" s="21">
        <v>0</v>
      </c>
      <c r="BD18" s="21">
        <v>0</v>
      </c>
      <c r="BE18" s="19">
        <f t="shared" si="10"/>
        <v>0</v>
      </c>
    </row>
    <row r="19" spans="1:57" s="15" customFormat="1" ht="18.75" customHeight="1" x14ac:dyDescent="0.4">
      <c r="A19" s="24" t="s">
        <v>82</v>
      </c>
      <c r="B19" s="19">
        <f t="shared" si="0"/>
        <v>170477</v>
      </c>
      <c r="C19" s="20">
        <v>170477</v>
      </c>
      <c r="D19" s="21">
        <v>0</v>
      </c>
      <c r="E19" s="21">
        <v>0</v>
      </c>
      <c r="F19" s="21">
        <v>0</v>
      </c>
      <c r="G19" s="23">
        <v>0</v>
      </c>
      <c r="H19" s="21">
        <v>0</v>
      </c>
      <c r="I19" s="21">
        <v>0</v>
      </c>
      <c r="J19" s="23">
        <v>0</v>
      </c>
      <c r="K19" s="21">
        <v>0</v>
      </c>
      <c r="L19" s="19">
        <f t="shared" si="1"/>
        <v>170477</v>
      </c>
      <c r="M19" s="23">
        <v>0</v>
      </c>
      <c r="N19" s="21">
        <v>0</v>
      </c>
      <c r="O19" s="23">
        <v>0</v>
      </c>
      <c r="P19" s="22">
        <f t="shared" si="2"/>
        <v>0</v>
      </c>
      <c r="Q19" s="21">
        <v>0</v>
      </c>
      <c r="R19" s="21">
        <v>0</v>
      </c>
      <c r="S19" s="21">
        <v>0</v>
      </c>
      <c r="T19" s="21">
        <v>0</v>
      </c>
      <c r="U19" s="19">
        <f t="shared" si="3"/>
        <v>0</v>
      </c>
      <c r="V19" s="21">
        <v>0</v>
      </c>
      <c r="W19" s="19">
        <f t="shared" si="4"/>
        <v>0</v>
      </c>
      <c r="X19" s="23">
        <v>0</v>
      </c>
      <c r="Y19" s="21">
        <v>0</v>
      </c>
      <c r="Z19" s="21">
        <v>0</v>
      </c>
      <c r="AA19" s="19">
        <f t="shared" si="5"/>
        <v>0</v>
      </c>
      <c r="AB19" s="21">
        <v>0</v>
      </c>
      <c r="AC19" s="21">
        <v>0</v>
      </c>
      <c r="AD19" s="21">
        <v>0</v>
      </c>
      <c r="AE19" s="19">
        <f t="shared" si="6"/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>
        <v>0</v>
      </c>
      <c r="AM19" s="23">
        <v>0</v>
      </c>
      <c r="AN19" s="19">
        <f t="shared" si="7"/>
        <v>0</v>
      </c>
      <c r="AO19" s="21">
        <v>0</v>
      </c>
      <c r="AP19" s="21">
        <v>0</v>
      </c>
      <c r="AQ19" s="21">
        <v>0</v>
      </c>
      <c r="AR19" s="21">
        <v>0</v>
      </c>
      <c r="AS19" s="19">
        <f t="shared" si="8"/>
        <v>0</v>
      </c>
      <c r="AT19" s="21">
        <v>0</v>
      </c>
      <c r="AU19" s="23">
        <v>0</v>
      </c>
      <c r="AV19" s="23">
        <v>0</v>
      </c>
      <c r="AW19" s="21">
        <v>0</v>
      </c>
      <c r="AX19" s="21">
        <v>0</v>
      </c>
      <c r="AY19" s="23">
        <v>0</v>
      </c>
      <c r="AZ19" s="19">
        <f t="shared" si="9"/>
        <v>0</v>
      </c>
      <c r="BA19" s="23">
        <v>0</v>
      </c>
      <c r="BB19" s="21">
        <v>0</v>
      </c>
      <c r="BC19" s="21">
        <v>0</v>
      </c>
      <c r="BD19" s="21">
        <v>0</v>
      </c>
      <c r="BE19" s="19">
        <f t="shared" si="10"/>
        <v>0</v>
      </c>
    </row>
    <row r="20" spans="1:57" s="25" customFormat="1" ht="18.75" customHeight="1" x14ac:dyDescent="0.4">
      <c r="A20" s="24" t="s">
        <v>83</v>
      </c>
      <c r="B20" s="19">
        <f t="shared" si="0"/>
        <v>157363</v>
      </c>
      <c r="C20" s="20">
        <v>98243</v>
      </c>
      <c r="D20" s="21">
        <v>0</v>
      </c>
      <c r="E20" s="21">
        <v>0</v>
      </c>
      <c r="F20" s="21">
        <v>0</v>
      </c>
      <c r="G20" s="23">
        <v>0</v>
      </c>
      <c r="H20" s="21">
        <v>0</v>
      </c>
      <c r="I20" s="21">
        <v>0</v>
      </c>
      <c r="J20" s="23">
        <v>0</v>
      </c>
      <c r="K20" s="21">
        <v>0</v>
      </c>
      <c r="L20" s="19">
        <f t="shared" si="1"/>
        <v>98243</v>
      </c>
      <c r="M20" s="23">
        <v>0</v>
      </c>
      <c r="N20" s="21">
        <v>0</v>
      </c>
      <c r="O20" s="23">
        <v>0</v>
      </c>
      <c r="P20" s="22">
        <f t="shared" si="2"/>
        <v>0</v>
      </c>
      <c r="Q20" s="21">
        <v>0</v>
      </c>
      <c r="R20" s="21">
        <v>0</v>
      </c>
      <c r="S20" s="21">
        <v>0</v>
      </c>
      <c r="T20" s="21">
        <v>0</v>
      </c>
      <c r="U20" s="19">
        <f t="shared" si="3"/>
        <v>0</v>
      </c>
      <c r="V20" s="21">
        <v>0</v>
      </c>
      <c r="W20" s="19">
        <f t="shared" si="4"/>
        <v>0</v>
      </c>
      <c r="X20" s="23">
        <v>0</v>
      </c>
      <c r="Y20" s="21">
        <v>0</v>
      </c>
      <c r="Z20" s="21">
        <v>0</v>
      </c>
      <c r="AA20" s="19">
        <f t="shared" si="5"/>
        <v>0</v>
      </c>
      <c r="AB20" s="21">
        <v>0</v>
      </c>
      <c r="AC20" s="21">
        <v>0</v>
      </c>
      <c r="AD20" s="21">
        <v>0</v>
      </c>
      <c r="AE20" s="19">
        <f t="shared" si="6"/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3">
        <v>0</v>
      </c>
      <c r="AM20" s="20">
        <v>59120</v>
      </c>
      <c r="AN20" s="19">
        <f t="shared" si="7"/>
        <v>59120</v>
      </c>
      <c r="AO20" s="21">
        <v>0</v>
      </c>
      <c r="AP20" s="21">
        <v>0</v>
      </c>
      <c r="AQ20" s="21">
        <v>0</v>
      </c>
      <c r="AR20" s="21">
        <v>0</v>
      </c>
      <c r="AS20" s="19">
        <f t="shared" si="8"/>
        <v>0</v>
      </c>
      <c r="AT20" s="21">
        <v>0</v>
      </c>
      <c r="AU20" s="23">
        <v>0</v>
      </c>
      <c r="AV20" s="23">
        <v>0</v>
      </c>
      <c r="AW20" s="21">
        <v>0</v>
      </c>
      <c r="AX20" s="21">
        <v>0</v>
      </c>
      <c r="AY20" s="23">
        <v>0</v>
      </c>
      <c r="AZ20" s="19">
        <f t="shared" si="9"/>
        <v>0</v>
      </c>
      <c r="BA20" s="23">
        <v>0</v>
      </c>
      <c r="BB20" s="21">
        <v>0</v>
      </c>
      <c r="BC20" s="21">
        <v>0</v>
      </c>
      <c r="BD20" s="21">
        <v>0</v>
      </c>
      <c r="BE20" s="19">
        <f t="shared" si="10"/>
        <v>0</v>
      </c>
    </row>
    <row r="21" spans="1:57" s="25" customFormat="1" ht="18.75" customHeight="1" x14ac:dyDescent="0.4">
      <c r="A21" s="24" t="s">
        <v>84</v>
      </c>
      <c r="B21" s="19">
        <f t="shared" si="0"/>
        <v>777882</v>
      </c>
      <c r="C21" s="20">
        <v>260835</v>
      </c>
      <c r="D21" s="20">
        <v>258900</v>
      </c>
      <c r="E21" s="23">
        <v>0</v>
      </c>
      <c r="F21" s="21">
        <v>0</v>
      </c>
      <c r="G21" s="23">
        <v>0</v>
      </c>
      <c r="H21" s="21">
        <v>0</v>
      </c>
      <c r="I21" s="21">
        <v>0</v>
      </c>
      <c r="J21" s="23">
        <v>0</v>
      </c>
      <c r="K21" s="21">
        <v>0</v>
      </c>
      <c r="L21" s="19">
        <f t="shared" si="1"/>
        <v>519735</v>
      </c>
      <c r="M21" s="23">
        <v>0</v>
      </c>
      <c r="N21" s="21">
        <v>0</v>
      </c>
      <c r="O21" s="23">
        <v>0</v>
      </c>
      <c r="P21" s="22">
        <f t="shared" si="2"/>
        <v>0</v>
      </c>
      <c r="Q21" s="21">
        <v>0</v>
      </c>
      <c r="R21" s="21">
        <v>0</v>
      </c>
      <c r="S21" s="21">
        <v>0</v>
      </c>
      <c r="T21" s="21">
        <v>0</v>
      </c>
      <c r="U21" s="19">
        <f t="shared" si="3"/>
        <v>0</v>
      </c>
      <c r="V21" s="21">
        <v>0</v>
      </c>
      <c r="W21" s="19">
        <f t="shared" si="4"/>
        <v>0</v>
      </c>
      <c r="X21" s="23">
        <v>0</v>
      </c>
      <c r="Y21" s="21">
        <v>0</v>
      </c>
      <c r="Z21" s="21">
        <v>0</v>
      </c>
      <c r="AA21" s="19">
        <f t="shared" si="5"/>
        <v>0</v>
      </c>
      <c r="AB21" s="21">
        <v>0</v>
      </c>
      <c r="AC21" s="21">
        <v>0</v>
      </c>
      <c r="AD21" s="21">
        <v>0</v>
      </c>
      <c r="AE21" s="19">
        <f t="shared" si="6"/>
        <v>0</v>
      </c>
      <c r="AF21" s="21">
        <v>0</v>
      </c>
      <c r="AG21" s="21">
        <v>0</v>
      </c>
      <c r="AH21" s="21">
        <v>0</v>
      </c>
      <c r="AI21" s="20">
        <v>231060</v>
      </c>
      <c r="AJ21" s="21">
        <v>0</v>
      </c>
      <c r="AK21" s="21">
        <v>0</v>
      </c>
      <c r="AL21" s="20">
        <v>24931</v>
      </c>
      <c r="AM21" s="23">
        <v>0</v>
      </c>
      <c r="AN21" s="19">
        <f t="shared" si="7"/>
        <v>255991</v>
      </c>
      <c r="AO21" s="21">
        <v>0</v>
      </c>
      <c r="AP21" s="21">
        <v>0</v>
      </c>
      <c r="AQ21" s="21">
        <v>0</v>
      </c>
      <c r="AR21" s="21">
        <v>0</v>
      </c>
      <c r="AS21" s="19">
        <f t="shared" si="8"/>
        <v>0</v>
      </c>
      <c r="AT21" s="21">
        <v>0</v>
      </c>
      <c r="AU21" s="20">
        <v>2156</v>
      </c>
      <c r="AV21" s="23">
        <v>0</v>
      </c>
      <c r="AW21" s="21">
        <v>0</v>
      </c>
      <c r="AX21" s="21">
        <v>0</v>
      </c>
      <c r="AY21" s="23">
        <v>0</v>
      </c>
      <c r="AZ21" s="19">
        <f t="shared" si="9"/>
        <v>2156</v>
      </c>
      <c r="BA21" s="23">
        <v>0</v>
      </c>
      <c r="BB21" s="21">
        <v>0</v>
      </c>
      <c r="BC21" s="21">
        <v>0</v>
      </c>
      <c r="BD21" s="21">
        <v>0</v>
      </c>
      <c r="BE21" s="19">
        <f t="shared" si="10"/>
        <v>0</v>
      </c>
    </row>
    <row r="22" spans="1:57" s="25" customFormat="1" ht="18.75" customHeight="1" x14ac:dyDescent="0.4">
      <c r="A22" s="24" t="s">
        <v>85</v>
      </c>
      <c r="B22" s="19">
        <f t="shared" si="0"/>
        <v>1230999</v>
      </c>
      <c r="C22" s="23">
        <v>0</v>
      </c>
      <c r="D22" s="21">
        <v>0</v>
      </c>
      <c r="E22" s="21">
        <v>0</v>
      </c>
      <c r="F22" s="20">
        <v>68260</v>
      </c>
      <c r="G22" s="23">
        <v>0</v>
      </c>
      <c r="H22" s="21">
        <v>0</v>
      </c>
      <c r="I22" s="20">
        <v>167740</v>
      </c>
      <c r="J22" s="23">
        <v>0</v>
      </c>
      <c r="K22" s="20">
        <v>13346</v>
      </c>
      <c r="L22" s="19">
        <f t="shared" si="1"/>
        <v>249346</v>
      </c>
      <c r="M22" s="23">
        <v>0</v>
      </c>
      <c r="N22" s="21">
        <v>0</v>
      </c>
      <c r="O22" s="23">
        <v>0</v>
      </c>
      <c r="P22" s="22">
        <f t="shared" si="2"/>
        <v>0</v>
      </c>
      <c r="Q22" s="21">
        <v>0</v>
      </c>
      <c r="R22" s="21">
        <v>0</v>
      </c>
      <c r="S22" s="21">
        <v>0</v>
      </c>
      <c r="T22" s="21">
        <v>0</v>
      </c>
      <c r="U22" s="19">
        <f t="shared" si="3"/>
        <v>0</v>
      </c>
      <c r="V22" s="21">
        <v>0</v>
      </c>
      <c r="W22" s="19">
        <f t="shared" si="4"/>
        <v>0</v>
      </c>
      <c r="X22" s="23">
        <v>0</v>
      </c>
      <c r="Y22" s="21">
        <v>0</v>
      </c>
      <c r="Z22" s="21">
        <v>0</v>
      </c>
      <c r="AA22" s="19">
        <f t="shared" si="5"/>
        <v>0</v>
      </c>
      <c r="AB22" s="20">
        <v>546890</v>
      </c>
      <c r="AC22" s="20">
        <v>431923</v>
      </c>
      <c r="AD22" s="21">
        <v>0</v>
      </c>
      <c r="AE22" s="19">
        <f t="shared" si="6"/>
        <v>978813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0">
        <v>444</v>
      </c>
      <c r="AM22" s="23">
        <v>0</v>
      </c>
      <c r="AN22" s="19">
        <f t="shared" si="7"/>
        <v>444</v>
      </c>
      <c r="AO22" s="21">
        <v>0</v>
      </c>
      <c r="AP22" s="21">
        <v>0</v>
      </c>
      <c r="AQ22" s="21">
        <v>0</v>
      </c>
      <c r="AR22" s="21">
        <v>0</v>
      </c>
      <c r="AS22" s="19">
        <f t="shared" si="8"/>
        <v>0</v>
      </c>
      <c r="AT22" s="21">
        <v>0</v>
      </c>
      <c r="AU22" s="20">
        <v>2396</v>
      </c>
      <c r="AV22" s="23">
        <v>0</v>
      </c>
      <c r="AW22" s="21">
        <v>0</v>
      </c>
      <c r="AX22" s="21">
        <v>0</v>
      </c>
      <c r="AY22" s="23">
        <v>0</v>
      </c>
      <c r="AZ22" s="19">
        <f t="shared" si="9"/>
        <v>2396</v>
      </c>
      <c r="BA22" s="23">
        <v>0</v>
      </c>
      <c r="BB22" s="21">
        <v>0</v>
      </c>
      <c r="BC22" s="21">
        <v>0</v>
      </c>
      <c r="BD22" s="21">
        <v>0</v>
      </c>
      <c r="BE22" s="19">
        <f t="shared" si="10"/>
        <v>0</v>
      </c>
    </row>
    <row r="23" spans="1:57" s="25" customFormat="1" ht="18.75" customHeight="1" x14ac:dyDescent="0.4">
      <c r="A23" s="24" t="s">
        <v>86</v>
      </c>
      <c r="B23" s="19">
        <f t="shared" si="0"/>
        <v>631190</v>
      </c>
      <c r="C23" s="20">
        <v>228066</v>
      </c>
      <c r="D23" s="21">
        <v>0</v>
      </c>
      <c r="E23" s="21">
        <v>0</v>
      </c>
      <c r="F23" s="20">
        <v>399224</v>
      </c>
      <c r="G23" s="23">
        <v>0</v>
      </c>
      <c r="H23" s="21">
        <v>0</v>
      </c>
      <c r="I23" s="21">
        <v>0</v>
      </c>
      <c r="J23" s="23">
        <v>0</v>
      </c>
      <c r="K23" s="21">
        <v>0</v>
      </c>
      <c r="L23" s="19">
        <f t="shared" si="1"/>
        <v>627290</v>
      </c>
      <c r="M23" s="23">
        <v>0</v>
      </c>
      <c r="N23" s="21">
        <v>0</v>
      </c>
      <c r="O23" s="23">
        <v>0</v>
      </c>
      <c r="P23" s="22">
        <f t="shared" si="2"/>
        <v>0</v>
      </c>
      <c r="Q23" s="21">
        <v>0</v>
      </c>
      <c r="R23" s="21">
        <v>0</v>
      </c>
      <c r="S23" s="21">
        <v>0</v>
      </c>
      <c r="T23" s="21">
        <v>0</v>
      </c>
      <c r="U23" s="19">
        <f t="shared" si="3"/>
        <v>0</v>
      </c>
      <c r="V23" s="21">
        <v>0</v>
      </c>
      <c r="W23" s="19">
        <f t="shared" si="4"/>
        <v>0</v>
      </c>
      <c r="X23" s="23">
        <v>0</v>
      </c>
      <c r="Y23" s="21">
        <v>0</v>
      </c>
      <c r="Z23" s="21">
        <v>0</v>
      </c>
      <c r="AA23" s="19">
        <f t="shared" si="5"/>
        <v>0</v>
      </c>
      <c r="AB23" s="20">
        <v>0</v>
      </c>
      <c r="AC23" s="21">
        <v>0</v>
      </c>
      <c r="AD23" s="21">
        <v>0</v>
      </c>
      <c r="AE23" s="19">
        <f t="shared" si="6"/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0">
        <v>20</v>
      </c>
      <c r="AM23" s="23">
        <v>0</v>
      </c>
      <c r="AN23" s="19">
        <f t="shared" si="7"/>
        <v>20</v>
      </c>
      <c r="AO23" s="21">
        <v>0</v>
      </c>
      <c r="AP23" s="21">
        <v>0</v>
      </c>
      <c r="AQ23" s="21">
        <v>0</v>
      </c>
      <c r="AR23" s="23">
        <v>0</v>
      </c>
      <c r="AS23" s="19">
        <f t="shared" si="8"/>
        <v>0</v>
      </c>
      <c r="AT23" s="21">
        <v>0</v>
      </c>
      <c r="AU23" s="20">
        <v>3880</v>
      </c>
      <c r="AV23" s="23">
        <v>0</v>
      </c>
      <c r="AW23" s="21">
        <v>0</v>
      </c>
      <c r="AX23" s="21">
        <v>0</v>
      </c>
      <c r="AY23" s="23">
        <v>0</v>
      </c>
      <c r="AZ23" s="19">
        <f t="shared" si="9"/>
        <v>3880</v>
      </c>
      <c r="BA23" s="23">
        <v>0</v>
      </c>
      <c r="BB23" s="21">
        <v>0</v>
      </c>
      <c r="BC23" s="21">
        <v>0</v>
      </c>
      <c r="BD23" s="21">
        <v>0</v>
      </c>
      <c r="BE23" s="19">
        <f t="shared" si="10"/>
        <v>0</v>
      </c>
    </row>
    <row r="24" spans="1:57" s="25" customFormat="1" ht="18.75" customHeight="1" x14ac:dyDescent="0.4">
      <c r="A24" s="24" t="s">
        <v>87</v>
      </c>
      <c r="B24" s="19">
        <f t="shared" si="0"/>
        <v>9621</v>
      </c>
      <c r="C24" s="23">
        <v>0</v>
      </c>
      <c r="D24" s="21">
        <v>0</v>
      </c>
      <c r="E24" s="21">
        <v>0</v>
      </c>
      <c r="F24" s="21">
        <v>0</v>
      </c>
      <c r="G24" s="23">
        <v>0</v>
      </c>
      <c r="H24" s="21">
        <v>0</v>
      </c>
      <c r="I24" s="21">
        <v>0</v>
      </c>
      <c r="J24" s="23">
        <v>0</v>
      </c>
      <c r="K24" s="21">
        <v>0</v>
      </c>
      <c r="L24" s="19">
        <f t="shared" si="1"/>
        <v>0</v>
      </c>
      <c r="M24" s="23">
        <v>0</v>
      </c>
      <c r="N24" s="21">
        <v>0</v>
      </c>
      <c r="O24" s="23">
        <v>0</v>
      </c>
      <c r="P24" s="22">
        <f t="shared" si="2"/>
        <v>0</v>
      </c>
      <c r="Q24" s="21">
        <v>0</v>
      </c>
      <c r="R24" s="21">
        <v>0</v>
      </c>
      <c r="S24" s="21">
        <v>0</v>
      </c>
      <c r="T24" s="21">
        <v>0</v>
      </c>
      <c r="U24" s="19">
        <f t="shared" si="3"/>
        <v>0</v>
      </c>
      <c r="V24" s="21">
        <v>0</v>
      </c>
      <c r="W24" s="19">
        <f t="shared" si="4"/>
        <v>0</v>
      </c>
      <c r="X24" s="23">
        <v>0</v>
      </c>
      <c r="Y24" s="21">
        <v>0</v>
      </c>
      <c r="Z24" s="21">
        <v>0</v>
      </c>
      <c r="AA24" s="19">
        <f t="shared" si="5"/>
        <v>0</v>
      </c>
      <c r="AB24" s="21">
        <v>0</v>
      </c>
      <c r="AC24" s="21">
        <v>0</v>
      </c>
      <c r="AD24" s="21">
        <v>0</v>
      </c>
      <c r="AE24" s="19">
        <f t="shared" si="6"/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0">
        <v>4159</v>
      </c>
      <c r="AM24" s="23">
        <v>0</v>
      </c>
      <c r="AN24" s="19">
        <f t="shared" si="7"/>
        <v>4159</v>
      </c>
      <c r="AO24" s="21">
        <v>0</v>
      </c>
      <c r="AP24" s="21">
        <v>0</v>
      </c>
      <c r="AQ24" s="21">
        <v>0</v>
      </c>
      <c r="AR24" s="21">
        <v>0</v>
      </c>
      <c r="AS24" s="19">
        <f t="shared" si="8"/>
        <v>0</v>
      </c>
      <c r="AT24" s="21">
        <v>0</v>
      </c>
      <c r="AU24" s="20">
        <v>5462</v>
      </c>
      <c r="AV24" s="23">
        <v>0</v>
      </c>
      <c r="AW24" s="21">
        <v>0</v>
      </c>
      <c r="AX24" s="21">
        <v>0</v>
      </c>
      <c r="AY24" s="23">
        <v>0</v>
      </c>
      <c r="AZ24" s="19">
        <f t="shared" si="9"/>
        <v>5462</v>
      </c>
      <c r="BA24" s="23">
        <v>0</v>
      </c>
      <c r="BB24" s="21">
        <v>0</v>
      </c>
      <c r="BC24" s="21">
        <v>0</v>
      </c>
      <c r="BD24" s="21">
        <v>0</v>
      </c>
      <c r="BE24" s="19">
        <f t="shared" si="10"/>
        <v>0</v>
      </c>
    </row>
    <row r="25" spans="1:57" s="25" customFormat="1" ht="18.75" customHeight="1" x14ac:dyDescent="0.4">
      <c r="A25" s="24" t="s">
        <v>88</v>
      </c>
      <c r="B25" s="19">
        <f t="shared" si="0"/>
        <v>1295426</v>
      </c>
      <c r="C25" s="20">
        <v>1295426</v>
      </c>
      <c r="D25" s="21">
        <v>0</v>
      </c>
      <c r="E25" s="21">
        <v>0</v>
      </c>
      <c r="F25" s="21">
        <v>0</v>
      </c>
      <c r="G25" s="23">
        <v>0</v>
      </c>
      <c r="H25" s="21">
        <v>0</v>
      </c>
      <c r="I25" s="21">
        <v>0</v>
      </c>
      <c r="J25" s="23">
        <v>0</v>
      </c>
      <c r="K25" s="21">
        <v>0</v>
      </c>
      <c r="L25" s="19">
        <f t="shared" si="1"/>
        <v>1295426</v>
      </c>
      <c r="M25" s="23">
        <v>0</v>
      </c>
      <c r="N25" s="21">
        <v>0</v>
      </c>
      <c r="O25" s="23">
        <v>0</v>
      </c>
      <c r="P25" s="22">
        <f t="shared" si="2"/>
        <v>0</v>
      </c>
      <c r="Q25" s="21">
        <v>0</v>
      </c>
      <c r="R25" s="21">
        <v>0</v>
      </c>
      <c r="S25" s="21">
        <v>0</v>
      </c>
      <c r="T25" s="21">
        <v>0</v>
      </c>
      <c r="U25" s="19">
        <f t="shared" si="3"/>
        <v>0</v>
      </c>
      <c r="V25" s="21">
        <v>0</v>
      </c>
      <c r="W25" s="19">
        <f t="shared" si="4"/>
        <v>0</v>
      </c>
      <c r="X25" s="23">
        <v>0</v>
      </c>
      <c r="Y25" s="21">
        <v>0</v>
      </c>
      <c r="Z25" s="21">
        <v>0</v>
      </c>
      <c r="AA25" s="19">
        <f t="shared" si="5"/>
        <v>0</v>
      </c>
      <c r="AB25" s="21">
        <v>0</v>
      </c>
      <c r="AC25" s="21">
        <v>0</v>
      </c>
      <c r="AD25" s="21">
        <v>0</v>
      </c>
      <c r="AE25" s="19">
        <f t="shared" si="6"/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3">
        <v>0</v>
      </c>
      <c r="AM25" s="23">
        <v>0</v>
      </c>
      <c r="AN25" s="19">
        <f t="shared" si="7"/>
        <v>0</v>
      </c>
      <c r="AO25" s="21">
        <v>0</v>
      </c>
      <c r="AP25" s="21">
        <v>0</v>
      </c>
      <c r="AQ25" s="21">
        <v>0</v>
      </c>
      <c r="AR25" s="21">
        <v>0</v>
      </c>
      <c r="AS25" s="19">
        <f t="shared" si="8"/>
        <v>0</v>
      </c>
      <c r="AT25" s="21">
        <v>0</v>
      </c>
      <c r="AU25" s="23">
        <v>0</v>
      </c>
      <c r="AV25" s="23">
        <v>0</v>
      </c>
      <c r="AW25" s="21">
        <v>0</v>
      </c>
      <c r="AX25" s="21">
        <v>0</v>
      </c>
      <c r="AY25" s="23">
        <v>0</v>
      </c>
      <c r="AZ25" s="19">
        <f t="shared" si="9"/>
        <v>0</v>
      </c>
      <c r="BA25" s="23">
        <v>0</v>
      </c>
      <c r="BB25" s="21">
        <v>0</v>
      </c>
      <c r="BC25" s="21">
        <v>0</v>
      </c>
      <c r="BD25" s="21">
        <v>0</v>
      </c>
      <c r="BE25" s="19">
        <f t="shared" si="10"/>
        <v>0</v>
      </c>
    </row>
    <row r="26" spans="1:57" s="15" customFormat="1" ht="18.75" customHeight="1" x14ac:dyDescent="0.4">
      <c r="A26" s="24" t="s">
        <v>89</v>
      </c>
      <c r="B26" s="19">
        <f t="shared" si="0"/>
        <v>624077</v>
      </c>
      <c r="C26" s="23">
        <v>624077</v>
      </c>
      <c r="D26" s="21">
        <v>0</v>
      </c>
      <c r="E26" s="21">
        <v>0</v>
      </c>
      <c r="F26" s="21">
        <v>0</v>
      </c>
      <c r="G26" s="23">
        <v>0</v>
      </c>
      <c r="H26" s="21">
        <v>0</v>
      </c>
      <c r="I26" s="21">
        <v>0</v>
      </c>
      <c r="J26" s="23">
        <v>0</v>
      </c>
      <c r="K26" s="21">
        <v>0</v>
      </c>
      <c r="L26" s="19">
        <f t="shared" si="1"/>
        <v>624077</v>
      </c>
      <c r="M26" s="23">
        <v>0</v>
      </c>
      <c r="N26" s="21">
        <v>0</v>
      </c>
      <c r="O26" s="23">
        <v>0</v>
      </c>
      <c r="P26" s="22">
        <f t="shared" si="2"/>
        <v>0</v>
      </c>
      <c r="Q26" s="21">
        <v>0</v>
      </c>
      <c r="R26" s="21">
        <v>0</v>
      </c>
      <c r="S26" s="21">
        <v>0</v>
      </c>
      <c r="T26" s="21">
        <v>0</v>
      </c>
      <c r="U26" s="19">
        <f t="shared" si="3"/>
        <v>0</v>
      </c>
      <c r="V26" s="21">
        <v>0</v>
      </c>
      <c r="W26" s="19">
        <f t="shared" si="4"/>
        <v>0</v>
      </c>
      <c r="X26" s="23">
        <v>0</v>
      </c>
      <c r="Y26" s="21">
        <v>0</v>
      </c>
      <c r="Z26" s="21">
        <v>0</v>
      </c>
      <c r="AA26" s="19">
        <f t="shared" si="5"/>
        <v>0</v>
      </c>
      <c r="AB26" s="21">
        <v>0</v>
      </c>
      <c r="AC26" s="21">
        <v>0</v>
      </c>
      <c r="AD26" s="21">
        <v>0</v>
      </c>
      <c r="AE26" s="19">
        <f t="shared" si="6"/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3">
        <v>0</v>
      </c>
      <c r="AM26" s="23">
        <v>0</v>
      </c>
      <c r="AN26" s="19">
        <f t="shared" si="7"/>
        <v>0</v>
      </c>
      <c r="AO26" s="21">
        <v>0</v>
      </c>
      <c r="AP26" s="21">
        <v>0</v>
      </c>
      <c r="AQ26" s="21">
        <v>0</v>
      </c>
      <c r="AR26" s="21">
        <v>0</v>
      </c>
      <c r="AS26" s="19">
        <f t="shared" si="8"/>
        <v>0</v>
      </c>
      <c r="AT26" s="21">
        <v>0</v>
      </c>
      <c r="AU26" s="23">
        <v>0</v>
      </c>
      <c r="AV26" s="23">
        <v>0</v>
      </c>
      <c r="AW26" s="21">
        <v>0</v>
      </c>
      <c r="AX26" s="21">
        <v>0</v>
      </c>
      <c r="AY26" s="23">
        <v>0</v>
      </c>
      <c r="AZ26" s="19">
        <f t="shared" si="9"/>
        <v>0</v>
      </c>
      <c r="BA26" s="23">
        <v>0</v>
      </c>
      <c r="BB26" s="21">
        <v>0</v>
      </c>
      <c r="BC26" s="21">
        <v>0</v>
      </c>
      <c r="BD26" s="21">
        <v>0</v>
      </c>
      <c r="BE26" s="19">
        <f t="shared" si="10"/>
        <v>0</v>
      </c>
    </row>
    <row r="27" spans="1:57" s="15" customFormat="1" ht="18.75" customHeight="1" x14ac:dyDescent="0.4">
      <c r="A27" s="24" t="s">
        <v>90</v>
      </c>
      <c r="B27" s="19">
        <f t="shared" si="0"/>
        <v>1268395</v>
      </c>
      <c r="C27" s="20">
        <v>200909</v>
      </c>
      <c r="D27" s="21">
        <v>0</v>
      </c>
      <c r="E27" s="21">
        <v>0</v>
      </c>
      <c r="F27" s="21">
        <v>0</v>
      </c>
      <c r="G27" s="20">
        <v>126600</v>
      </c>
      <c r="H27" s="21">
        <v>0</v>
      </c>
      <c r="I27" s="21">
        <v>0</v>
      </c>
      <c r="J27" s="23">
        <v>0</v>
      </c>
      <c r="K27" s="21">
        <v>0</v>
      </c>
      <c r="L27" s="19">
        <f t="shared" si="1"/>
        <v>327509</v>
      </c>
      <c r="M27" s="23">
        <v>0</v>
      </c>
      <c r="N27" s="21">
        <v>0</v>
      </c>
      <c r="O27" s="23">
        <v>0</v>
      </c>
      <c r="P27" s="22">
        <f t="shared" si="2"/>
        <v>0</v>
      </c>
      <c r="Q27" s="20">
        <v>201900</v>
      </c>
      <c r="R27" s="20">
        <v>57830</v>
      </c>
      <c r="S27" s="21">
        <v>0</v>
      </c>
      <c r="T27" s="21">
        <v>0</v>
      </c>
      <c r="U27" s="19">
        <f t="shared" si="3"/>
        <v>259730</v>
      </c>
      <c r="V27" s="21">
        <v>0</v>
      </c>
      <c r="W27" s="19">
        <f t="shared" si="4"/>
        <v>0</v>
      </c>
      <c r="X27" s="23">
        <v>0</v>
      </c>
      <c r="Y27" s="21">
        <v>0</v>
      </c>
      <c r="Z27" s="20">
        <v>172165</v>
      </c>
      <c r="AA27" s="19">
        <f t="shared" si="5"/>
        <v>172165</v>
      </c>
      <c r="AB27" s="21">
        <v>0</v>
      </c>
      <c r="AC27" s="21">
        <v>0</v>
      </c>
      <c r="AD27" s="21">
        <v>0</v>
      </c>
      <c r="AE27" s="19">
        <f t="shared" si="6"/>
        <v>0</v>
      </c>
      <c r="AF27" s="21">
        <v>0</v>
      </c>
      <c r="AG27" s="21">
        <v>0</v>
      </c>
      <c r="AH27" s="20">
        <v>459805</v>
      </c>
      <c r="AI27" s="21">
        <v>0</v>
      </c>
      <c r="AJ27" s="21">
        <v>0</v>
      </c>
      <c r="AK27" s="21">
        <v>0</v>
      </c>
      <c r="AL27" s="20">
        <v>41604</v>
      </c>
      <c r="AM27" s="23">
        <v>0</v>
      </c>
      <c r="AN27" s="19">
        <f t="shared" si="7"/>
        <v>501409</v>
      </c>
      <c r="AO27" s="21">
        <v>0</v>
      </c>
      <c r="AP27" s="20">
        <v>1086</v>
      </c>
      <c r="AQ27" s="21">
        <v>0</v>
      </c>
      <c r="AR27" s="21">
        <v>0</v>
      </c>
      <c r="AS27" s="19">
        <f t="shared" si="8"/>
        <v>1086</v>
      </c>
      <c r="AT27" s="21">
        <v>0</v>
      </c>
      <c r="AU27" s="20">
        <v>6496</v>
      </c>
      <c r="AV27" s="23">
        <v>0</v>
      </c>
      <c r="AW27" s="21">
        <v>0</v>
      </c>
      <c r="AX27" s="21">
        <v>0</v>
      </c>
      <c r="AY27" s="23">
        <v>0</v>
      </c>
      <c r="AZ27" s="19">
        <f t="shared" si="9"/>
        <v>6496</v>
      </c>
      <c r="BA27" s="23">
        <v>0</v>
      </c>
      <c r="BB27" s="21">
        <v>0</v>
      </c>
      <c r="BC27" s="21">
        <v>0</v>
      </c>
      <c r="BD27" s="21">
        <v>0</v>
      </c>
      <c r="BE27" s="19">
        <f t="shared" si="10"/>
        <v>0</v>
      </c>
    </row>
    <row r="28" spans="1:57" s="25" customFormat="1" ht="18.75" customHeight="1" x14ac:dyDescent="0.4">
      <c r="A28" s="24" t="s">
        <v>91</v>
      </c>
      <c r="B28" s="19">
        <f t="shared" si="0"/>
        <v>5850126</v>
      </c>
      <c r="C28" s="20">
        <v>30276</v>
      </c>
      <c r="D28" s="21">
        <v>0</v>
      </c>
      <c r="E28" s="21">
        <v>0</v>
      </c>
      <c r="F28" s="21">
        <v>0</v>
      </c>
      <c r="G28" s="20">
        <v>117705</v>
      </c>
      <c r="H28" s="21">
        <v>0</v>
      </c>
      <c r="I28" s="21">
        <v>0</v>
      </c>
      <c r="J28" s="23">
        <v>0</v>
      </c>
      <c r="K28" s="21">
        <v>0</v>
      </c>
      <c r="L28" s="19">
        <f t="shared" si="1"/>
        <v>147981</v>
      </c>
      <c r="M28" s="20">
        <v>4983776</v>
      </c>
      <c r="N28" s="23">
        <v>0</v>
      </c>
      <c r="O28" s="20">
        <v>13725</v>
      </c>
      <c r="P28" s="22">
        <f t="shared" si="2"/>
        <v>4997501</v>
      </c>
      <c r="Q28" s="21">
        <v>0</v>
      </c>
      <c r="R28" s="21">
        <v>0</v>
      </c>
      <c r="S28" s="21">
        <v>0</v>
      </c>
      <c r="T28" s="21">
        <v>0</v>
      </c>
      <c r="U28" s="19">
        <f t="shared" si="3"/>
        <v>0</v>
      </c>
      <c r="V28" s="21">
        <v>0</v>
      </c>
      <c r="W28" s="19">
        <f t="shared" si="4"/>
        <v>0</v>
      </c>
      <c r="X28" s="20">
        <v>246592</v>
      </c>
      <c r="Y28" s="20">
        <v>113282</v>
      </c>
      <c r="Z28" s="20">
        <v>331608</v>
      </c>
      <c r="AA28" s="19">
        <f t="shared" si="5"/>
        <v>691482</v>
      </c>
      <c r="AB28" s="21">
        <v>0</v>
      </c>
      <c r="AC28" s="21">
        <v>0</v>
      </c>
      <c r="AD28" s="21">
        <v>0</v>
      </c>
      <c r="AE28" s="19">
        <f t="shared" si="6"/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0">
        <v>132</v>
      </c>
      <c r="AM28" s="23">
        <v>0</v>
      </c>
      <c r="AN28" s="19">
        <f t="shared" si="7"/>
        <v>132</v>
      </c>
      <c r="AO28" s="21">
        <v>0</v>
      </c>
      <c r="AP28" s="21">
        <v>0</v>
      </c>
      <c r="AQ28" s="21">
        <v>0</v>
      </c>
      <c r="AR28" s="21">
        <v>0</v>
      </c>
      <c r="AS28" s="19">
        <f t="shared" si="8"/>
        <v>0</v>
      </c>
      <c r="AT28" s="21">
        <v>0</v>
      </c>
      <c r="AU28" s="20">
        <v>3293</v>
      </c>
      <c r="AV28" s="23">
        <v>0</v>
      </c>
      <c r="AW28" s="21">
        <v>0</v>
      </c>
      <c r="AX28" s="21">
        <v>0</v>
      </c>
      <c r="AY28" s="23">
        <v>0</v>
      </c>
      <c r="AZ28" s="19">
        <f t="shared" si="9"/>
        <v>3293</v>
      </c>
      <c r="BA28" s="20">
        <v>9650</v>
      </c>
      <c r="BB28" s="21">
        <v>0</v>
      </c>
      <c r="BC28" s="21">
        <v>0</v>
      </c>
      <c r="BD28" s="20">
        <v>87</v>
      </c>
      <c r="BE28" s="19">
        <f t="shared" si="10"/>
        <v>9737</v>
      </c>
    </row>
    <row r="29" spans="1:57" s="25" customFormat="1" ht="18.75" customHeight="1" x14ac:dyDescent="0.4">
      <c r="A29" s="24" t="s">
        <v>92</v>
      </c>
      <c r="B29" s="19">
        <f t="shared" si="0"/>
        <v>865147</v>
      </c>
      <c r="C29" s="23">
        <v>0</v>
      </c>
      <c r="D29" s="21">
        <v>0</v>
      </c>
      <c r="E29" s="21">
        <v>0</v>
      </c>
      <c r="F29" s="21">
        <v>0</v>
      </c>
      <c r="G29" s="23">
        <v>0</v>
      </c>
      <c r="H29" s="21">
        <v>0</v>
      </c>
      <c r="I29" s="21">
        <v>0</v>
      </c>
      <c r="J29" s="23">
        <v>0</v>
      </c>
      <c r="K29" s="21">
        <v>0</v>
      </c>
      <c r="L29" s="19">
        <f t="shared" si="1"/>
        <v>0</v>
      </c>
      <c r="M29" s="20">
        <v>746899</v>
      </c>
      <c r="N29" s="21">
        <v>0</v>
      </c>
      <c r="O29" s="23">
        <v>0</v>
      </c>
      <c r="P29" s="22">
        <f t="shared" si="2"/>
        <v>746899</v>
      </c>
      <c r="Q29" s="21">
        <v>0</v>
      </c>
      <c r="R29" s="21">
        <v>0</v>
      </c>
      <c r="S29" s="20">
        <v>118248</v>
      </c>
      <c r="T29" s="21">
        <v>0</v>
      </c>
      <c r="U29" s="19">
        <f t="shared" si="3"/>
        <v>118248</v>
      </c>
      <c r="V29" s="21">
        <v>0</v>
      </c>
      <c r="W29" s="19">
        <f t="shared" si="4"/>
        <v>0</v>
      </c>
      <c r="X29" s="23">
        <v>0</v>
      </c>
      <c r="Y29" s="21">
        <v>0</v>
      </c>
      <c r="Z29" s="21">
        <v>0</v>
      </c>
      <c r="AA29" s="19">
        <f t="shared" si="5"/>
        <v>0</v>
      </c>
      <c r="AB29" s="21">
        <v>0</v>
      </c>
      <c r="AC29" s="21">
        <v>0</v>
      </c>
      <c r="AD29" s="21">
        <v>0</v>
      </c>
      <c r="AE29" s="19">
        <f t="shared" si="6"/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3">
        <v>0</v>
      </c>
      <c r="AM29" s="23">
        <v>0</v>
      </c>
      <c r="AN29" s="19">
        <f t="shared" si="7"/>
        <v>0</v>
      </c>
      <c r="AO29" s="21">
        <v>0</v>
      </c>
      <c r="AP29" s="21">
        <v>0</v>
      </c>
      <c r="AQ29" s="21">
        <v>0</v>
      </c>
      <c r="AR29" s="21">
        <v>0</v>
      </c>
      <c r="AS29" s="19">
        <f t="shared" si="8"/>
        <v>0</v>
      </c>
      <c r="AT29" s="21">
        <v>0</v>
      </c>
      <c r="AU29" s="23">
        <v>0</v>
      </c>
      <c r="AV29" s="23">
        <v>0</v>
      </c>
      <c r="AW29" s="21">
        <v>0</v>
      </c>
      <c r="AX29" s="21">
        <v>0</v>
      </c>
      <c r="AY29" s="23">
        <v>0</v>
      </c>
      <c r="AZ29" s="19">
        <f t="shared" si="9"/>
        <v>0</v>
      </c>
      <c r="BA29" s="23">
        <v>0</v>
      </c>
      <c r="BB29" s="21">
        <v>0</v>
      </c>
      <c r="BC29" s="21">
        <v>0</v>
      </c>
      <c r="BD29" s="21">
        <v>0</v>
      </c>
      <c r="BE29" s="19">
        <f t="shared" si="10"/>
        <v>0</v>
      </c>
    </row>
    <row r="30" spans="1:57" s="25" customFormat="1" ht="18.75" customHeight="1" x14ac:dyDescent="0.4">
      <c r="A30" s="24" t="s">
        <v>93</v>
      </c>
      <c r="B30" s="19">
        <f t="shared" si="0"/>
        <v>130180</v>
      </c>
      <c r="C30" s="20">
        <v>118340</v>
      </c>
      <c r="D30" s="21">
        <v>0</v>
      </c>
      <c r="E30" s="21">
        <v>0</v>
      </c>
      <c r="F30" s="21">
        <v>0</v>
      </c>
      <c r="G30" s="23">
        <v>0</v>
      </c>
      <c r="H30" s="21">
        <v>0</v>
      </c>
      <c r="I30" s="21">
        <v>0</v>
      </c>
      <c r="J30" s="23">
        <v>0</v>
      </c>
      <c r="K30" s="21">
        <v>0</v>
      </c>
      <c r="L30" s="19">
        <f t="shared" si="1"/>
        <v>118340</v>
      </c>
      <c r="M30" s="23">
        <v>0</v>
      </c>
      <c r="N30" s="21">
        <v>0</v>
      </c>
      <c r="O30" s="23">
        <v>0</v>
      </c>
      <c r="P30" s="22">
        <f t="shared" si="2"/>
        <v>0</v>
      </c>
      <c r="Q30" s="21">
        <v>0</v>
      </c>
      <c r="R30" s="21">
        <v>0</v>
      </c>
      <c r="S30" s="21">
        <v>0</v>
      </c>
      <c r="T30" s="21">
        <v>0</v>
      </c>
      <c r="U30" s="19">
        <f t="shared" si="3"/>
        <v>0</v>
      </c>
      <c r="V30" s="21">
        <v>0</v>
      </c>
      <c r="W30" s="19">
        <f t="shared" si="4"/>
        <v>0</v>
      </c>
      <c r="X30" s="23">
        <v>0</v>
      </c>
      <c r="Y30" s="21">
        <v>0</v>
      </c>
      <c r="Z30" s="21">
        <v>0</v>
      </c>
      <c r="AA30" s="19">
        <f t="shared" si="5"/>
        <v>0</v>
      </c>
      <c r="AB30" s="21">
        <v>0</v>
      </c>
      <c r="AC30" s="21">
        <v>0</v>
      </c>
      <c r="AD30" s="21">
        <v>0</v>
      </c>
      <c r="AE30" s="19">
        <f t="shared" si="6"/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3">
        <v>0</v>
      </c>
      <c r="AM30" s="20">
        <v>11840</v>
      </c>
      <c r="AN30" s="19">
        <f t="shared" si="7"/>
        <v>11840</v>
      </c>
      <c r="AO30" s="21">
        <v>0</v>
      </c>
      <c r="AP30" s="21">
        <v>0</v>
      </c>
      <c r="AQ30" s="21">
        <v>0</v>
      </c>
      <c r="AR30" s="21">
        <v>0</v>
      </c>
      <c r="AS30" s="19">
        <f t="shared" si="8"/>
        <v>0</v>
      </c>
      <c r="AT30" s="21">
        <v>0</v>
      </c>
      <c r="AU30" s="23">
        <v>0</v>
      </c>
      <c r="AV30" s="23">
        <v>0</v>
      </c>
      <c r="AW30" s="21">
        <v>0</v>
      </c>
      <c r="AX30" s="21">
        <v>0</v>
      </c>
      <c r="AY30" s="23">
        <v>0</v>
      </c>
      <c r="AZ30" s="19">
        <f t="shared" si="9"/>
        <v>0</v>
      </c>
      <c r="BA30" s="23">
        <v>0</v>
      </c>
      <c r="BB30" s="21">
        <v>0</v>
      </c>
      <c r="BC30" s="21">
        <v>0</v>
      </c>
      <c r="BD30" s="21">
        <v>0</v>
      </c>
      <c r="BE30" s="19">
        <f t="shared" si="10"/>
        <v>0</v>
      </c>
    </row>
    <row r="31" spans="1:57" s="25" customFormat="1" ht="18.75" customHeight="1" x14ac:dyDescent="0.4">
      <c r="A31" s="24" t="s">
        <v>94</v>
      </c>
      <c r="B31" s="19">
        <f t="shared" si="0"/>
        <v>10879</v>
      </c>
      <c r="C31" s="23">
        <v>0</v>
      </c>
      <c r="D31" s="21">
        <v>0</v>
      </c>
      <c r="E31" s="21">
        <v>0</v>
      </c>
      <c r="F31" s="21">
        <v>0</v>
      </c>
      <c r="G31" s="23">
        <v>0</v>
      </c>
      <c r="H31" s="21">
        <v>0</v>
      </c>
      <c r="I31" s="21">
        <v>0</v>
      </c>
      <c r="J31" s="23">
        <v>0</v>
      </c>
      <c r="K31" s="21">
        <v>0</v>
      </c>
      <c r="L31" s="19">
        <f t="shared" si="1"/>
        <v>0</v>
      </c>
      <c r="M31" s="23">
        <v>0</v>
      </c>
      <c r="N31" s="21">
        <v>0</v>
      </c>
      <c r="O31" s="23">
        <v>0</v>
      </c>
      <c r="P31" s="22">
        <f t="shared" si="2"/>
        <v>0</v>
      </c>
      <c r="Q31" s="21">
        <v>0</v>
      </c>
      <c r="R31" s="21">
        <v>0</v>
      </c>
      <c r="S31" s="21">
        <v>0</v>
      </c>
      <c r="T31" s="21">
        <v>0</v>
      </c>
      <c r="U31" s="19">
        <f t="shared" si="3"/>
        <v>0</v>
      </c>
      <c r="V31" s="21">
        <v>0</v>
      </c>
      <c r="W31" s="19">
        <f t="shared" si="4"/>
        <v>0</v>
      </c>
      <c r="X31" s="23">
        <v>0</v>
      </c>
      <c r="Y31" s="21">
        <v>0</v>
      </c>
      <c r="Z31" s="21">
        <v>0</v>
      </c>
      <c r="AA31" s="19">
        <f t="shared" si="5"/>
        <v>0</v>
      </c>
      <c r="AB31" s="21">
        <v>0</v>
      </c>
      <c r="AC31" s="21">
        <v>0</v>
      </c>
      <c r="AD31" s="21">
        <v>0</v>
      </c>
      <c r="AE31" s="19">
        <f t="shared" si="6"/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3">
        <v>0</v>
      </c>
      <c r="AM31" s="23">
        <v>0</v>
      </c>
      <c r="AN31" s="19">
        <f t="shared" si="7"/>
        <v>0</v>
      </c>
      <c r="AO31" s="21">
        <v>0</v>
      </c>
      <c r="AP31" s="20">
        <v>9017</v>
      </c>
      <c r="AQ31" s="20">
        <v>1862</v>
      </c>
      <c r="AR31" s="21">
        <v>0</v>
      </c>
      <c r="AS31" s="19">
        <f t="shared" si="8"/>
        <v>10879</v>
      </c>
      <c r="AT31" s="21">
        <v>0</v>
      </c>
      <c r="AU31" s="23">
        <v>0</v>
      </c>
      <c r="AV31" s="23">
        <v>0</v>
      </c>
      <c r="AW31" s="21">
        <v>0</v>
      </c>
      <c r="AX31" s="21">
        <v>0</v>
      </c>
      <c r="AY31" s="23">
        <v>0</v>
      </c>
      <c r="AZ31" s="19">
        <f t="shared" si="9"/>
        <v>0</v>
      </c>
      <c r="BA31" s="23">
        <v>0</v>
      </c>
      <c r="BB31" s="21">
        <v>0</v>
      </c>
      <c r="BC31" s="21">
        <v>0</v>
      </c>
      <c r="BD31" s="21">
        <v>0</v>
      </c>
      <c r="BE31" s="19">
        <f t="shared" si="10"/>
        <v>0</v>
      </c>
    </row>
    <row r="32" spans="1:57" s="25" customFormat="1" ht="18.75" customHeight="1" x14ac:dyDescent="0.4">
      <c r="A32" s="24" t="s">
        <v>95</v>
      </c>
      <c r="B32" s="19">
        <f t="shared" si="0"/>
        <v>7942</v>
      </c>
      <c r="C32" s="23">
        <v>0</v>
      </c>
      <c r="D32" s="21">
        <v>0</v>
      </c>
      <c r="E32" s="21">
        <v>0</v>
      </c>
      <c r="F32" s="21">
        <v>0</v>
      </c>
      <c r="G32" s="23">
        <v>0</v>
      </c>
      <c r="H32" s="21">
        <v>0</v>
      </c>
      <c r="I32" s="21">
        <v>0</v>
      </c>
      <c r="J32" s="23">
        <v>0</v>
      </c>
      <c r="K32" s="21">
        <v>0</v>
      </c>
      <c r="L32" s="19">
        <f t="shared" si="1"/>
        <v>0</v>
      </c>
      <c r="M32" s="23">
        <v>0</v>
      </c>
      <c r="N32" s="21">
        <v>0</v>
      </c>
      <c r="O32" s="23">
        <v>0</v>
      </c>
      <c r="P32" s="22">
        <f t="shared" si="2"/>
        <v>0</v>
      </c>
      <c r="Q32" s="21">
        <v>0</v>
      </c>
      <c r="R32" s="21">
        <v>0</v>
      </c>
      <c r="S32" s="21">
        <v>0</v>
      </c>
      <c r="T32" s="21">
        <v>0</v>
      </c>
      <c r="U32" s="19">
        <f t="shared" si="3"/>
        <v>0</v>
      </c>
      <c r="V32" s="21">
        <v>0</v>
      </c>
      <c r="W32" s="19">
        <f t="shared" si="4"/>
        <v>0</v>
      </c>
      <c r="X32" s="23">
        <v>0</v>
      </c>
      <c r="Y32" s="21">
        <v>0</v>
      </c>
      <c r="Z32" s="21">
        <v>0</v>
      </c>
      <c r="AA32" s="19">
        <f t="shared" si="5"/>
        <v>0</v>
      </c>
      <c r="AB32" s="21">
        <v>0</v>
      </c>
      <c r="AC32" s="21">
        <v>0</v>
      </c>
      <c r="AD32" s="21">
        <v>0</v>
      </c>
      <c r="AE32" s="19">
        <f t="shared" si="6"/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0">
        <v>982</v>
      </c>
      <c r="AM32" s="20">
        <v>280</v>
      </c>
      <c r="AN32" s="19">
        <f t="shared" si="7"/>
        <v>1262</v>
      </c>
      <c r="AO32" s="21">
        <v>0</v>
      </c>
      <c r="AP32" s="21">
        <v>0</v>
      </c>
      <c r="AQ32" s="21">
        <v>0</v>
      </c>
      <c r="AR32" s="21">
        <v>0</v>
      </c>
      <c r="AS32" s="19">
        <f t="shared" si="8"/>
        <v>0</v>
      </c>
      <c r="AT32" s="21">
        <v>0</v>
      </c>
      <c r="AU32" s="20">
        <v>2229</v>
      </c>
      <c r="AV32" s="20">
        <v>4408</v>
      </c>
      <c r="AW32" s="21">
        <v>0</v>
      </c>
      <c r="AX32" s="21">
        <v>0</v>
      </c>
      <c r="AY32" s="23">
        <v>0</v>
      </c>
      <c r="AZ32" s="19">
        <f t="shared" si="9"/>
        <v>6637</v>
      </c>
      <c r="BA32" s="23">
        <v>0</v>
      </c>
      <c r="BB32" s="21">
        <v>0</v>
      </c>
      <c r="BC32" s="20">
        <v>43</v>
      </c>
      <c r="BD32" s="23">
        <v>0</v>
      </c>
      <c r="BE32" s="19">
        <f t="shared" si="10"/>
        <v>43</v>
      </c>
    </row>
    <row r="33" spans="1:57" s="25" customFormat="1" ht="18.75" customHeight="1" x14ac:dyDescent="0.4">
      <c r="A33" s="24" t="s">
        <v>96</v>
      </c>
      <c r="B33" s="19">
        <f t="shared" si="0"/>
        <v>310127</v>
      </c>
      <c r="C33" s="23">
        <v>0</v>
      </c>
      <c r="D33" s="21">
        <v>0</v>
      </c>
      <c r="E33" s="21">
        <v>0</v>
      </c>
      <c r="F33" s="21">
        <v>0</v>
      </c>
      <c r="G33" s="23">
        <v>0</v>
      </c>
      <c r="H33" s="21">
        <v>0</v>
      </c>
      <c r="I33" s="21">
        <v>0</v>
      </c>
      <c r="J33" s="23">
        <v>0</v>
      </c>
      <c r="K33" s="21">
        <v>0</v>
      </c>
      <c r="L33" s="19">
        <f t="shared" si="1"/>
        <v>0</v>
      </c>
      <c r="M33" s="23">
        <v>0</v>
      </c>
      <c r="N33" s="21">
        <v>0</v>
      </c>
      <c r="O33" s="23">
        <v>0</v>
      </c>
      <c r="P33" s="22">
        <f t="shared" si="2"/>
        <v>0</v>
      </c>
      <c r="Q33" s="21">
        <v>0</v>
      </c>
      <c r="R33" s="21">
        <v>0</v>
      </c>
      <c r="S33" s="21">
        <v>0</v>
      </c>
      <c r="T33" s="21">
        <v>0</v>
      </c>
      <c r="U33" s="19">
        <f t="shared" si="3"/>
        <v>0</v>
      </c>
      <c r="V33" s="20">
        <v>164191</v>
      </c>
      <c r="W33" s="19">
        <f t="shared" si="4"/>
        <v>164191</v>
      </c>
      <c r="X33" s="23">
        <v>0</v>
      </c>
      <c r="Y33" s="21">
        <v>0</v>
      </c>
      <c r="Z33" s="21">
        <v>0</v>
      </c>
      <c r="AA33" s="19">
        <f t="shared" si="5"/>
        <v>0</v>
      </c>
      <c r="AB33" s="21">
        <v>0</v>
      </c>
      <c r="AC33" s="21">
        <v>0</v>
      </c>
      <c r="AD33" s="21">
        <v>0</v>
      </c>
      <c r="AE33" s="19">
        <f t="shared" si="6"/>
        <v>0</v>
      </c>
      <c r="AF33" s="21">
        <v>0</v>
      </c>
      <c r="AG33" s="20">
        <v>144077</v>
      </c>
      <c r="AH33" s="21">
        <v>0</v>
      </c>
      <c r="AI33" s="21">
        <v>0</v>
      </c>
      <c r="AJ33" s="21">
        <v>0</v>
      </c>
      <c r="AK33" s="21">
        <v>0</v>
      </c>
      <c r="AL33" s="20">
        <v>1782</v>
      </c>
      <c r="AM33" s="23">
        <v>0</v>
      </c>
      <c r="AN33" s="19">
        <f t="shared" si="7"/>
        <v>145859</v>
      </c>
      <c r="AO33" s="21">
        <v>0</v>
      </c>
      <c r="AP33" s="21">
        <v>0</v>
      </c>
      <c r="AQ33" s="21">
        <v>0</v>
      </c>
      <c r="AR33" s="21">
        <v>0</v>
      </c>
      <c r="AS33" s="19">
        <f t="shared" si="8"/>
        <v>0</v>
      </c>
      <c r="AT33" s="21">
        <v>0</v>
      </c>
      <c r="AU33" s="20">
        <v>77</v>
      </c>
      <c r="AV33" s="23">
        <v>0</v>
      </c>
      <c r="AW33" s="21">
        <v>0</v>
      </c>
      <c r="AX33" s="21">
        <v>0</v>
      </c>
      <c r="AY33" s="23">
        <v>0</v>
      </c>
      <c r="AZ33" s="19">
        <f t="shared" si="9"/>
        <v>77</v>
      </c>
      <c r="BA33" s="23">
        <v>0</v>
      </c>
      <c r="BB33" s="21">
        <v>0</v>
      </c>
      <c r="BC33" s="21">
        <v>0</v>
      </c>
      <c r="BD33" s="21">
        <v>0</v>
      </c>
      <c r="BE33" s="19">
        <f t="shared" si="10"/>
        <v>0</v>
      </c>
    </row>
    <row r="34" spans="1:57" s="25" customFormat="1" ht="18.75" customHeight="1" x14ac:dyDescent="0.4">
      <c r="A34" s="24" t="s">
        <v>97</v>
      </c>
      <c r="B34" s="19">
        <f t="shared" si="0"/>
        <v>44400</v>
      </c>
      <c r="C34" s="20">
        <v>44400</v>
      </c>
      <c r="D34" s="21">
        <v>0</v>
      </c>
      <c r="E34" s="21">
        <v>0</v>
      </c>
      <c r="F34" s="21">
        <v>0</v>
      </c>
      <c r="G34" s="23">
        <v>0</v>
      </c>
      <c r="H34" s="21">
        <v>0</v>
      </c>
      <c r="I34" s="21">
        <v>0</v>
      </c>
      <c r="J34" s="23">
        <v>0</v>
      </c>
      <c r="K34" s="21">
        <v>0</v>
      </c>
      <c r="L34" s="19">
        <f t="shared" si="1"/>
        <v>44400</v>
      </c>
      <c r="M34" s="23">
        <v>0</v>
      </c>
      <c r="N34" s="21">
        <v>0</v>
      </c>
      <c r="O34" s="23">
        <v>0</v>
      </c>
      <c r="P34" s="22">
        <f t="shared" si="2"/>
        <v>0</v>
      </c>
      <c r="Q34" s="21">
        <v>0</v>
      </c>
      <c r="R34" s="21">
        <v>0</v>
      </c>
      <c r="S34" s="21">
        <v>0</v>
      </c>
      <c r="T34" s="21">
        <v>0</v>
      </c>
      <c r="U34" s="19">
        <f t="shared" si="3"/>
        <v>0</v>
      </c>
      <c r="V34" s="21">
        <v>0</v>
      </c>
      <c r="W34" s="19">
        <f t="shared" si="4"/>
        <v>0</v>
      </c>
      <c r="X34" s="23">
        <v>0</v>
      </c>
      <c r="Y34" s="21">
        <v>0</v>
      </c>
      <c r="Z34" s="21">
        <v>0</v>
      </c>
      <c r="AA34" s="19">
        <f t="shared" si="5"/>
        <v>0</v>
      </c>
      <c r="AB34" s="21">
        <v>0</v>
      </c>
      <c r="AC34" s="21">
        <v>0</v>
      </c>
      <c r="AD34" s="21">
        <v>0</v>
      </c>
      <c r="AE34" s="19">
        <f t="shared" si="6"/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3">
        <v>0</v>
      </c>
      <c r="AM34" s="23">
        <v>0</v>
      </c>
      <c r="AN34" s="19">
        <f t="shared" si="7"/>
        <v>0</v>
      </c>
      <c r="AO34" s="21">
        <v>0</v>
      </c>
      <c r="AP34" s="21">
        <v>0</v>
      </c>
      <c r="AQ34" s="21">
        <v>0</v>
      </c>
      <c r="AR34" s="21">
        <v>0</v>
      </c>
      <c r="AS34" s="19">
        <f t="shared" si="8"/>
        <v>0</v>
      </c>
      <c r="AT34" s="21">
        <v>0</v>
      </c>
      <c r="AU34" s="23">
        <v>0</v>
      </c>
      <c r="AV34" s="23">
        <v>0</v>
      </c>
      <c r="AW34" s="21">
        <v>0</v>
      </c>
      <c r="AX34" s="21">
        <v>0</v>
      </c>
      <c r="AY34" s="23">
        <v>0</v>
      </c>
      <c r="AZ34" s="19">
        <f t="shared" si="9"/>
        <v>0</v>
      </c>
      <c r="BA34" s="23">
        <v>0</v>
      </c>
      <c r="BB34" s="21">
        <v>0</v>
      </c>
      <c r="BC34" s="21">
        <v>0</v>
      </c>
      <c r="BD34" s="21">
        <v>0</v>
      </c>
      <c r="BE34" s="19">
        <f t="shared" si="10"/>
        <v>0</v>
      </c>
    </row>
    <row r="35" spans="1:57" s="25" customFormat="1" ht="18.75" customHeight="1" x14ac:dyDescent="0.4">
      <c r="A35" s="24" t="s">
        <v>98</v>
      </c>
      <c r="B35" s="19">
        <f t="shared" si="0"/>
        <v>1387976</v>
      </c>
      <c r="C35" s="20">
        <v>1872</v>
      </c>
      <c r="D35" s="21">
        <v>0</v>
      </c>
      <c r="E35" s="21">
        <v>0</v>
      </c>
      <c r="F35" s="21">
        <v>0</v>
      </c>
      <c r="G35" s="23">
        <v>0</v>
      </c>
      <c r="H35" s="21">
        <v>0</v>
      </c>
      <c r="I35" s="21">
        <v>0</v>
      </c>
      <c r="J35" s="23">
        <v>0</v>
      </c>
      <c r="K35" s="21">
        <v>0</v>
      </c>
      <c r="L35" s="19">
        <f t="shared" si="1"/>
        <v>1872</v>
      </c>
      <c r="M35" s="23">
        <v>0</v>
      </c>
      <c r="N35" s="21">
        <v>0</v>
      </c>
      <c r="O35" s="23">
        <v>0</v>
      </c>
      <c r="P35" s="22">
        <f t="shared" si="2"/>
        <v>0</v>
      </c>
      <c r="Q35" s="21">
        <v>0</v>
      </c>
      <c r="R35" s="21">
        <v>0</v>
      </c>
      <c r="S35" s="20">
        <v>931850</v>
      </c>
      <c r="T35" s="21">
        <v>0</v>
      </c>
      <c r="U35" s="19">
        <f t="shared" si="3"/>
        <v>931850</v>
      </c>
      <c r="V35" s="21">
        <v>0</v>
      </c>
      <c r="W35" s="19">
        <f t="shared" si="4"/>
        <v>0</v>
      </c>
      <c r="X35" s="23">
        <v>0</v>
      </c>
      <c r="Y35" s="21">
        <v>0</v>
      </c>
      <c r="Z35" s="21">
        <v>0</v>
      </c>
      <c r="AA35" s="19">
        <f t="shared" si="5"/>
        <v>0</v>
      </c>
      <c r="AB35" s="20">
        <v>392968</v>
      </c>
      <c r="AC35" s="20">
        <v>6554</v>
      </c>
      <c r="AD35" s="20">
        <v>1920</v>
      </c>
      <c r="AE35" s="19">
        <f t="shared" si="6"/>
        <v>401442</v>
      </c>
      <c r="AF35" s="20">
        <v>31585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0">
        <v>3913</v>
      </c>
      <c r="AM35" s="20">
        <v>488</v>
      </c>
      <c r="AN35" s="19">
        <f t="shared" si="7"/>
        <v>35986</v>
      </c>
      <c r="AO35" s="21">
        <v>0</v>
      </c>
      <c r="AP35" s="20">
        <v>240</v>
      </c>
      <c r="AQ35" s="21">
        <v>0</v>
      </c>
      <c r="AR35" s="21">
        <v>0</v>
      </c>
      <c r="AS35" s="19">
        <f t="shared" si="8"/>
        <v>240</v>
      </c>
      <c r="AT35" s="21">
        <v>0</v>
      </c>
      <c r="AU35" s="20">
        <v>2888</v>
      </c>
      <c r="AV35" s="23">
        <v>0</v>
      </c>
      <c r="AW35" s="21">
        <v>0</v>
      </c>
      <c r="AX35" s="21">
        <v>0</v>
      </c>
      <c r="AY35" s="23">
        <v>0</v>
      </c>
      <c r="AZ35" s="19">
        <f t="shared" si="9"/>
        <v>2888</v>
      </c>
      <c r="BA35" s="23">
        <v>0</v>
      </c>
      <c r="BB35" s="20">
        <v>13698</v>
      </c>
      <c r="BC35" s="21">
        <v>0</v>
      </c>
      <c r="BD35" s="23">
        <v>0</v>
      </c>
      <c r="BE35" s="19">
        <f t="shared" si="10"/>
        <v>13698</v>
      </c>
    </row>
    <row r="36" spans="1:57" s="25" customFormat="1" ht="18.75" customHeight="1" x14ac:dyDescent="0.4">
      <c r="A36" s="24" t="s">
        <v>99</v>
      </c>
      <c r="B36" s="19">
        <f t="shared" si="0"/>
        <v>33956</v>
      </c>
      <c r="C36" s="23">
        <v>0</v>
      </c>
      <c r="D36" s="21">
        <v>0</v>
      </c>
      <c r="E36" s="21">
        <v>0</v>
      </c>
      <c r="F36" s="21">
        <v>0</v>
      </c>
      <c r="G36" s="23">
        <v>0</v>
      </c>
      <c r="H36" s="21">
        <v>0</v>
      </c>
      <c r="I36" s="21">
        <v>0</v>
      </c>
      <c r="J36" s="23">
        <v>0</v>
      </c>
      <c r="K36" s="21">
        <v>0</v>
      </c>
      <c r="L36" s="19">
        <f t="shared" si="1"/>
        <v>0</v>
      </c>
      <c r="M36" s="23">
        <v>0</v>
      </c>
      <c r="N36" s="21">
        <v>0</v>
      </c>
      <c r="O36" s="23">
        <v>0</v>
      </c>
      <c r="P36" s="22">
        <f t="shared" si="2"/>
        <v>0</v>
      </c>
      <c r="Q36" s="21">
        <v>0</v>
      </c>
      <c r="R36" s="21">
        <v>0</v>
      </c>
      <c r="S36" s="21">
        <v>0</v>
      </c>
      <c r="T36" s="21">
        <v>0</v>
      </c>
      <c r="U36" s="19">
        <f t="shared" si="3"/>
        <v>0</v>
      </c>
      <c r="V36" s="21">
        <v>0</v>
      </c>
      <c r="W36" s="19">
        <f t="shared" si="4"/>
        <v>0</v>
      </c>
      <c r="X36" s="23">
        <v>0</v>
      </c>
      <c r="Y36" s="21">
        <v>0</v>
      </c>
      <c r="Z36" s="21">
        <v>0</v>
      </c>
      <c r="AA36" s="19">
        <f t="shared" si="5"/>
        <v>0</v>
      </c>
      <c r="AB36" s="21">
        <v>0</v>
      </c>
      <c r="AC36" s="21">
        <v>0</v>
      </c>
      <c r="AD36" s="21">
        <v>0</v>
      </c>
      <c r="AE36" s="19">
        <f t="shared" si="6"/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0">
        <v>9939</v>
      </c>
      <c r="AM36" s="20">
        <v>1879</v>
      </c>
      <c r="AN36" s="19">
        <f t="shared" si="7"/>
        <v>11818</v>
      </c>
      <c r="AO36" s="23">
        <v>0</v>
      </c>
      <c r="AP36" s="20">
        <v>5988</v>
      </c>
      <c r="AQ36" s="21">
        <v>0</v>
      </c>
      <c r="AR36" s="21">
        <v>0</v>
      </c>
      <c r="AS36" s="19">
        <f t="shared" si="8"/>
        <v>5988</v>
      </c>
      <c r="AT36" s="21">
        <v>0</v>
      </c>
      <c r="AU36" s="23">
        <v>0</v>
      </c>
      <c r="AV36" s="23">
        <v>0</v>
      </c>
      <c r="AW36" s="20">
        <v>150</v>
      </c>
      <c r="AX36" s="21">
        <v>0</v>
      </c>
      <c r="AY36" s="23">
        <v>0</v>
      </c>
      <c r="AZ36" s="19">
        <f t="shared" si="9"/>
        <v>150</v>
      </c>
      <c r="BA36" s="20">
        <v>16000</v>
      </c>
      <c r="BB36" s="20">
        <v>0</v>
      </c>
      <c r="BC36" s="21">
        <v>0</v>
      </c>
      <c r="BD36" s="21">
        <v>0</v>
      </c>
      <c r="BE36" s="19">
        <f t="shared" si="10"/>
        <v>16000</v>
      </c>
    </row>
    <row r="37" spans="1:57" s="25" customFormat="1" ht="18.75" customHeight="1" x14ac:dyDescent="0.4">
      <c r="A37" s="24" t="s">
        <v>100</v>
      </c>
      <c r="B37" s="19">
        <f t="shared" si="0"/>
        <v>4874</v>
      </c>
      <c r="C37" s="23">
        <v>0</v>
      </c>
      <c r="D37" s="21">
        <v>0</v>
      </c>
      <c r="E37" s="21">
        <v>0</v>
      </c>
      <c r="F37" s="21">
        <v>0</v>
      </c>
      <c r="G37" s="23">
        <v>0</v>
      </c>
      <c r="H37" s="21">
        <v>0</v>
      </c>
      <c r="I37" s="21">
        <v>0</v>
      </c>
      <c r="J37" s="23">
        <v>0</v>
      </c>
      <c r="K37" s="21">
        <v>0</v>
      </c>
      <c r="L37" s="19">
        <f t="shared" si="1"/>
        <v>0</v>
      </c>
      <c r="M37" s="23">
        <v>0</v>
      </c>
      <c r="N37" s="21">
        <v>0</v>
      </c>
      <c r="O37" s="23">
        <v>0</v>
      </c>
      <c r="P37" s="22">
        <f t="shared" si="2"/>
        <v>0</v>
      </c>
      <c r="Q37" s="21">
        <v>0</v>
      </c>
      <c r="R37" s="21">
        <v>0</v>
      </c>
      <c r="S37" s="21">
        <v>0</v>
      </c>
      <c r="T37" s="21">
        <v>0</v>
      </c>
      <c r="U37" s="19">
        <f t="shared" si="3"/>
        <v>0</v>
      </c>
      <c r="V37" s="21">
        <v>0</v>
      </c>
      <c r="W37" s="19">
        <f t="shared" si="4"/>
        <v>0</v>
      </c>
      <c r="X37" s="23">
        <v>0</v>
      </c>
      <c r="Y37" s="21">
        <v>0</v>
      </c>
      <c r="Z37" s="21">
        <v>0</v>
      </c>
      <c r="AA37" s="19">
        <f t="shared" si="5"/>
        <v>0</v>
      </c>
      <c r="AB37" s="21">
        <v>0</v>
      </c>
      <c r="AC37" s="21">
        <v>0</v>
      </c>
      <c r="AD37" s="21">
        <v>0</v>
      </c>
      <c r="AE37" s="19">
        <f t="shared" si="6"/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0">
        <v>20</v>
      </c>
      <c r="AM37" s="23">
        <v>0</v>
      </c>
      <c r="AN37" s="19">
        <f t="shared" si="7"/>
        <v>20</v>
      </c>
      <c r="AO37" s="21">
        <v>0</v>
      </c>
      <c r="AP37" s="21">
        <v>0</v>
      </c>
      <c r="AQ37" s="21">
        <v>0</v>
      </c>
      <c r="AR37" s="20">
        <v>68</v>
      </c>
      <c r="AS37" s="19">
        <f t="shared" si="8"/>
        <v>68</v>
      </c>
      <c r="AT37" s="21">
        <v>0</v>
      </c>
      <c r="AU37" s="20">
        <v>4546</v>
      </c>
      <c r="AV37" s="20">
        <v>42</v>
      </c>
      <c r="AW37" s="21">
        <v>0</v>
      </c>
      <c r="AX37" s="21">
        <v>0</v>
      </c>
      <c r="AY37" s="20">
        <v>198</v>
      </c>
      <c r="AZ37" s="19">
        <f t="shared" si="9"/>
        <v>4786</v>
      </c>
      <c r="BA37" s="23">
        <v>0</v>
      </c>
      <c r="BB37" s="21">
        <v>0</v>
      </c>
      <c r="BC37" s="21">
        <v>0</v>
      </c>
      <c r="BD37" s="21">
        <v>0</v>
      </c>
      <c r="BE37" s="19">
        <f t="shared" si="10"/>
        <v>0</v>
      </c>
    </row>
    <row r="38" spans="1:57" s="25" customFormat="1" ht="18.75" customHeight="1" x14ac:dyDescent="0.4">
      <c r="A38" s="24" t="s">
        <v>101</v>
      </c>
      <c r="B38" s="19">
        <f t="shared" si="0"/>
        <v>5396</v>
      </c>
      <c r="C38" s="23">
        <v>0</v>
      </c>
      <c r="D38" s="21">
        <v>0</v>
      </c>
      <c r="E38" s="21">
        <v>0</v>
      </c>
      <c r="F38" s="21">
        <v>0</v>
      </c>
      <c r="G38" s="23">
        <v>0</v>
      </c>
      <c r="H38" s="21">
        <v>0</v>
      </c>
      <c r="I38" s="21">
        <v>0</v>
      </c>
      <c r="J38" s="23">
        <v>0</v>
      </c>
      <c r="K38" s="21">
        <v>0</v>
      </c>
      <c r="L38" s="19">
        <f t="shared" si="1"/>
        <v>0</v>
      </c>
      <c r="M38" s="23">
        <v>0</v>
      </c>
      <c r="N38" s="21">
        <v>0</v>
      </c>
      <c r="O38" s="23">
        <v>0</v>
      </c>
      <c r="P38" s="22">
        <f t="shared" si="2"/>
        <v>0</v>
      </c>
      <c r="Q38" s="21">
        <v>0</v>
      </c>
      <c r="R38" s="21">
        <v>0</v>
      </c>
      <c r="S38" s="21">
        <v>0</v>
      </c>
      <c r="T38" s="21">
        <v>0</v>
      </c>
      <c r="U38" s="19">
        <f t="shared" si="3"/>
        <v>0</v>
      </c>
      <c r="V38" s="21">
        <v>0</v>
      </c>
      <c r="W38" s="19">
        <f t="shared" si="4"/>
        <v>0</v>
      </c>
      <c r="X38" s="23">
        <v>0</v>
      </c>
      <c r="Y38" s="21">
        <v>0</v>
      </c>
      <c r="Z38" s="21">
        <v>0</v>
      </c>
      <c r="AA38" s="19">
        <f t="shared" si="5"/>
        <v>0</v>
      </c>
      <c r="AB38" s="21">
        <v>0</v>
      </c>
      <c r="AC38" s="21">
        <v>0</v>
      </c>
      <c r="AD38" s="21">
        <v>0</v>
      </c>
      <c r="AE38" s="19">
        <f t="shared" si="6"/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3">
        <v>0</v>
      </c>
      <c r="AM38" s="23">
        <v>0</v>
      </c>
      <c r="AN38" s="19">
        <f t="shared" si="7"/>
        <v>0</v>
      </c>
      <c r="AO38" s="21">
        <v>0</v>
      </c>
      <c r="AP38" s="23">
        <v>0</v>
      </c>
      <c r="AQ38" s="20">
        <v>76</v>
      </c>
      <c r="AR38" s="20">
        <v>5320</v>
      </c>
      <c r="AS38" s="19">
        <f t="shared" si="8"/>
        <v>5396</v>
      </c>
      <c r="AT38" s="21">
        <v>0</v>
      </c>
      <c r="AU38" s="23">
        <v>0</v>
      </c>
      <c r="AV38" s="23">
        <v>0</v>
      </c>
      <c r="AW38" s="21">
        <v>0</v>
      </c>
      <c r="AX38" s="21">
        <v>0</v>
      </c>
      <c r="AY38" s="23">
        <v>0</v>
      </c>
      <c r="AZ38" s="19">
        <f t="shared" si="9"/>
        <v>0</v>
      </c>
      <c r="BA38" s="23">
        <v>0</v>
      </c>
      <c r="BB38" s="21">
        <v>0</v>
      </c>
      <c r="BC38" s="21">
        <v>0</v>
      </c>
      <c r="BD38" s="21">
        <v>0</v>
      </c>
      <c r="BE38" s="19">
        <f t="shared" si="10"/>
        <v>0</v>
      </c>
    </row>
    <row r="39" spans="1:57" s="25" customFormat="1" ht="18.75" customHeight="1" x14ac:dyDescent="0.4">
      <c r="A39" s="24" t="s">
        <v>102</v>
      </c>
      <c r="B39" s="19">
        <f t="shared" si="0"/>
        <v>436205</v>
      </c>
      <c r="C39" s="23">
        <v>0</v>
      </c>
      <c r="D39" s="21">
        <v>0</v>
      </c>
      <c r="E39" s="21">
        <v>0</v>
      </c>
      <c r="F39" s="21">
        <v>0</v>
      </c>
      <c r="G39" s="23">
        <v>0</v>
      </c>
      <c r="H39" s="21">
        <v>0</v>
      </c>
      <c r="I39" s="21">
        <v>0</v>
      </c>
      <c r="J39" s="23">
        <v>0</v>
      </c>
      <c r="K39" s="21">
        <v>0</v>
      </c>
      <c r="L39" s="19">
        <f t="shared" si="1"/>
        <v>0</v>
      </c>
      <c r="M39" s="23">
        <v>0</v>
      </c>
      <c r="N39" s="21">
        <v>0</v>
      </c>
      <c r="O39" s="23">
        <v>0</v>
      </c>
      <c r="P39" s="22">
        <f t="shared" si="2"/>
        <v>0</v>
      </c>
      <c r="Q39" s="21">
        <v>0</v>
      </c>
      <c r="R39" s="21">
        <v>0</v>
      </c>
      <c r="S39" s="21">
        <v>0</v>
      </c>
      <c r="T39" s="21">
        <v>0</v>
      </c>
      <c r="U39" s="19">
        <f t="shared" si="3"/>
        <v>0</v>
      </c>
      <c r="V39" s="21">
        <v>0</v>
      </c>
      <c r="W39" s="19">
        <f t="shared" si="4"/>
        <v>0</v>
      </c>
      <c r="X39" s="23">
        <v>0</v>
      </c>
      <c r="Y39" s="21">
        <v>0</v>
      </c>
      <c r="Z39" s="21">
        <v>0</v>
      </c>
      <c r="AA39" s="19">
        <f t="shared" si="5"/>
        <v>0</v>
      </c>
      <c r="AB39" s="20">
        <v>14006</v>
      </c>
      <c r="AC39" s="21">
        <v>0</v>
      </c>
      <c r="AD39" s="21">
        <v>0</v>
      </c>
      <c r="AE39" s="19">
        <f t="shared" si="6"/>
        <v>14006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0">
        <v>1462</v>
      </c>
      <c r="AM39" s="20">
        <v>398840</v>
      </c>
      <c r="AN39" s="19">
        <f t="shared" si="7"/>
        <v>400302</v>
      </c>
      <c r="AO39" s="21">
        <v>0</v>
      </c>
      <c r="AP39" s="21">
        <v>0</v>
      </c>
      <c r="AQ39" s="21">
        <v>0</v>
      </c>
      <c r="AR39" s="21">
        <v>0</v>
      </c>
      <c r="AS39" s="19">
        <f t="shared" si="8"/>
        <v>0</v>
      </c>
      <c r="AT39" s="23">
        <v>0</v>
      </c>
      <c r="AU39" s="20">
        <v>5547</v>
      </c>
      <c r="AV39" s="23">
        <v>0</v>
      </c>
      <c r="AW39" s="21">
        <v>0</v>
      </c>
      <c r="AX39" s="21">
        <v>0</v>
      </c>
      <c r="AY39" s="23">
        <v>0</v>
      </c>
      <c r="AZ39" s="19">
        <f t="shared" si="9"/>
        <v>5547</v>
      </c>
      <c r="BA39" s="20">
        <v>16350</v>
      </c>
      <c r="BB39" s="21">
        <v>0</v>
      </c>
      <c r="BC39" s="21">
        <v>0</v>
      </c>
      <c r="BD39" s="21">
        <v>0</v>
      </c>
      <c r="BE39" s="19">
        <f t="shared" si="10"/>
        <v>16350</v>
      </c>
    </row>
    <row r="40" spans="1:57" s="25" customFormat="1" ht="18.75" customHeight="1" x14ac:dyDescent="0.4">
      <c r="A40" s="24" t="s">
        <v>103</v>
      </c>
      <c r="B40" s="19">
        <f t="shared" si="0"/>
        <v>16</v>
      </c>
      <c r="C40" s="23">
        <v>0</v>
      </c>
      <c r="D40" s="21">
        <v>0</v>
      </c>
      <c r="E40" s="21">
        <v>0</v>
      </c>
      <c r="F40" s="21">
        <v>0</v>
      </c>
      <c r="G40" s="23">
        <v>0</v>
      </c>
      <c r="H40" s="21">
        <v>0</v>
      </c>
      <c r="I40" s="21">
        <v>0</v>
      </c>
      <c r="J40" s="23">
        <v>0</v>
      </c>
      <c r="K40" s="21">
        <v>0</v>
      </c>
      <c r="L40" s="19">
        <f t="shared" si="1"/>
        <v>0</v>
      </c>
      <c r="M40" s="23">
        <v>0</v>
      </c>
      <c r="N40" s="21">
        <v>0</v>
      </c>
      <c r="O40" s="23">
        <v>0</v>
      </c>
      <c r="P40" s="22">
        <f t="shared" si="2"/>
        <v>0</v>
      </c>
      <c r="Q40" s="21">
        <v>0</v>
      </c>
      <c r="R40" s="21">
        <v>0</v>
      </c>
      <c r="S40" s="21">
        <v>0</v>
      </c>
      <c r="T40" s="21">
        <v>0</v>
      </c>
      <c r="U40" s="19">
        <f t="shared" si="3"/>
        <v>0</v>
      </c>
      <c r="V40" s="21">
        <v>0</v>
      </c>
      <c r="W40" s="19">
        <f t="shared" si="4"/>
        <v>0</v>
      </c>
      <c r="X40" s="23">
        <v>0</v>
      </c>
      <c r="Y40" s="21">
        <v>0</v>
      </c>
      <c r="Z40" s="21">
        <v>0</v>
      </c>
      <c r="AA40" s="19">
        <f t="shared" si="5"/>
        <v>0</v>
      </c>
      <c r="AB40" s="20">
        <v>0</v>
      </c>
      <c r="AC40" s="21">
        <v>0</v>
      </c>
      <c r="AD40" s="21">
        <v>0</v>
      </c>
      <c r="AE40" s="19">
        <f t="shared" si="6"/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0">
        <v>16</v>
      </c>
      <c r="AM40" s="20">
        <v>0</v>
      </c>
      <c r="AN40" s="19">
        <f t="shared" si="7"/>
        <v>16</v>
      </c>
      <c r="AO40" s="21">
        <v>0</v>
      </c>
      <c r="AP40" s="21">
        <v>0</v>
      </c>
      <c r="AQ40" s="21">
        <v>0</v>
      </c>
      <c r="AR40" s="21">
        <v>0</v>
      </c>
      <c r="AS40" s="19">
        <f t="shared" si="8"/>
        <v>0</v>
      </c>
      <c r="AT40" s="23">
        <v>0</v>
      </c>
      <c r="AU40" s="20">
        <v>0</v>
      </c>
      <c r="AV40" s="23">
        <v>0</v>
      </c>
      <c r="AW40" s="21">
        <v>0</v>
      </c>
      <c r="AX40" s="21">
        <v>0</v>
      </c>
      <c r="AY40" s="23">
        <v>0</v>
      </c>
      <c r="AZ40" s="19">
        <f t="shared" si="9"/>
        <v>0</v>
      </c>
      <c r="BA40" s="20">
        <v>0</v>
      </c>
      <c r="BB40" s="21">
        <v>0</v>
      </c>
      <c r="BC40" s="21">
        <v>0</v>
      </c>
      <c r="BD40" s="21">
        <v>0</v>
      </c>
      <c r="BE40" s="19">
        <f t="shared" si="10"/>
        <v>0</v>
      </c>
    </row>
    <row r="41" spans="1:57" s="25" customFormat="1" ht="18.75" customHeight="1" x14ac:dyDescent="0.4">
      <c r="A41" s="26" t="s">
        <v>104</v>
      </c>
      <c r="B41" s="19">
        <f t="shared" ref="B41:BD41" si="11">SUM(B6:B40)</f>
        <v>26779766</v>
      </c>
      <c r="C41" s="19">
        <f t="shared" si="11"/>
        <v>8025244</v>
      </c>
      <c r="D41" s="19">
        <f t="shared" si="11"/>
        <v>258900</v>
      </c>
      <c r="E41" s="19">
        <f t="shared" si="11"/>
        <v>0</v>
      </c>
      <c r="F41" s="19">
        <f t="shared" si="11"/>
        <v>663920</v>
      </c>
      <c r="G41" s="19">
        <f t="shared" si="11"/>
        <v>244305</v>
      </c>
      <c r="H41" s="19">
        <f t="shared" si="11"/>
        <v>0</v>
      </c>
      <c r="I41" s="19">
        <f t="shared" si="11"/>
        <v>167740</v>
      </c>
      <c r="J41" s="19">
        <f t="shared" si="11"/>
        <v>0</v>
      </c>
      <c r="K41" s="19">
        <f t="shared" si="11"/>
        <v>13346</v>
      </c>
      <c r="L41" s="19">
        <f t="shared" si="11"/>
        <v>9373455</v>
      </c>
      <c r="M41" s="19">
        <f t="shared" si="11"/>
        <v>10292200</v>
      </c>
      <c r="N41" s="19">
        <f t="shared" si="11"/>
        <v>0</v>
      </c>
      <c r="O41" s="19">
        <f t="shared" si="11"/>
        <v>150189</v>
      </c>
      <c r="P41" s="19">
        <f t="shared" si="11"/>
        <v>10442389</v>
      </c>
      <c r="Q41" s="19">
        <f t="shared" si="11"/>
        <v>201900</v>
      </c>
      <c r="R41" s="19">
        <f t="shared" si="11"/>
        <v>57830</v>
      </c>
      <c r="S41" s="19">
        <f t="shared" si="11"/>
        <v>1050098</v>
      </c>
      <c r="T41" s="19">
        <f t="shared" si="11"/>
        <v>0</v>
      </c>
      <c r="U41" s="19">
        <f t="shared" si="11"/>
        <v>1309828</v>
      </c>
      <c r="V41" s="19">
        <f t="shared" si="11"/>
        <v>164191</v>
      </c>
      <c r="W41" s="19">
        <f t="shared" si="11"/>
        <v>164191</v>
      </c>
      <c r="X41" s="19">
        <f t="shared" si="11"/>
        <v>576114</v>
      </c>
      <c r="Y41" s="19">
        <f t="shared" si="11"/>
        <v>113282</v>
      </c>
      <c r="Z41" s="19">
        <f t="shared" si="11"/>
        <v>503773</v>
      </c>
      <c r="AA41" s="19">
        <f t="shared" si="11"/>
        <v>1193169</v>
      </c>
      <c r="AB41" s="19">
        <f t="shared" si="11"/>
        <v>955539</v>
      </c>
      <c r="AC41" s="19">
        <f t="shared" si="11"/>
        <v>1371489</v>
      </c>
      <c r="AD41" s="19">
        <f t="shared" si="11"/>
        <v>1920</v>
      </c>
      <c r="AE41" s="19">
        <f t="shared" si="11"/>
        <v>2328948</v>
      </c>
      <c r="AF41" s="19">
        <f t="shared" si="11"/>
        <v>31585</v>
      </c>
      <c r="AG41" s="19">
        <f t="shared" si="11"/>
        <v>144077</v>
      </c>
      <c r="AH41" s="19">
        <f t="shared" si="11"/>
        <v>459805</v>
      </c>
      <c r="AI41" s="19">
        <f t="shared" si="11"/>
        <v>231060</v>
      </c>
      <c r="AJ41" s="19">
        <f t="shared" si="11"/>
        <v>0</v>
      </c>
      <c r="AK41" s="19">
        <f t="shared" si="11"/>
        <v>0</v>
      </c>
      <c r="AL41" s="19">
        <f t="shared" si="11"/>
        <v>130305</v>
      </c>
      <c r="AM41" s="19">
        <f t="shared" si="11"/>
        <v>549326</v>
      </c>
      <c r="AN41" s="19">
        <f t="shared" si="11"/>
        <v>1546158</v>
      </c>
      <c r="AO41" s="19">
        <f t="shared" si="11"/>
        <v>8556</v>
      </c>
      <c r="AP41" s="19">
        <f t="shared" si="11"/>
        <v>32962</v>
      </c>
      <c r="AQ41" s="19">
        <f t="shared" si="11"/>
        <v>5911</v>
      </c>
      <c r="AR41" s="19">
        <f t="shared" si="11"/>
        <v>21081</v>
      </c>
      <c r="AS41" s="19">
        <f t="shared" si="11"/>
        <v>68510</v>
      </c>
      <c r="AT41" s="19">
        <f t="shared" si="11"/>
        <v>0</v>
      </c>
      <c r="AU41" s="19">
        <f t="shared" si="11"/>
        <v>139866</v>
      </c>
      <c r="AV41" s="19">
        <f t="shared" si="11"/>
        <v>6581</v>
      </c>
      <c r="AW41" s="19">
        <f t="shared" si="11"/>
        <v>150</v>
      </c>
      <c r="AX41" s="19">
        <f t="shared" si="11"/>
        <v>169</v>
      </c>
      <c r="AY41" s="19">
        <f t="shared" si="11"/>
        <v>3251</v>
      </c>
      <c r="AZ41" s="19">
        <f t="shared" si="11"/>
        <v>150017</v>
      </c>
      <c r="BA41" s="19">
        <f t="shared" si="11"/>
        <v>188000</v>
      </c>
      <c r="BB41" s="19">
        <f t="shared" si="11"/>
        <v>14388</v>
      </c>
      <c r="BC41" s="19">
        <f t="shared" si="11"/>
        <v>86</v>
      </c>
      <c r="BD41" s="19">
        <f t="shared" si="11"/>
        <v>627</v>
      </c>
      <c r="BE41" s="19">
        <f>SUM(BE6:BE39)</f>
        <v>203101</v>
      </c>
    </row>
    <row r="42" spans="1:57" s="15" customFormat="1" ht="18.75" customHeight="1" x14ac:dyDescent="0.4">
      <c r="A42" s="27"/>
      <c r="B42" s="28"/>
      <c r="C42" s="29"/>
      <c r="G42" s="29"/>
      <c r="J42" s="29"/>
      <c r="L42" s="28"/>
      <c r="M42" s="29"/>
      <c r="O42" s="29"/>
      <c r="P42" s="30"/>
      <c r="U42" s="28"/>
      <c r="W42" s="28"/>
      <c r="X42" s="29"/>
      <c r="AA42" s="28"/>
      <c r="AE42" s="28"/>
      <c r="AL42" s="29"/>
      <c r="AM42" s="29"/>
      <c r="AN42" s="28"/>
      <c r="AS42" s="28"/>
      <c r="AU42" s="29"/>
      <c r="AV42" s="29"/>
      <c r="AY42" s="29"/>
      <c r="AZ42" s="28"/>
      <c r="BA42" s="29"/>
      <c r="BE42" s="28"/>
    </row>
    <row r="43" spans="1:57" x14ac:dyDescent="0.4">
      <c r="O43" s="8"/>
    </row>
    <row r="44" spans="1:57" x14ac:dyDescent="0.4">
      <c r="O44" s="8"/>
    </row>
    <row r="45" spans="1:57" x14ac:dyDescent="0.4">
      <c r="O45" s="8"/>
    </row>
    <row r="46" spans="1:57" x14ac:dyDescent="0.4">
      <c r="O46" s="8"/>
    </row>
    <row r="47" spans="1:57" x14ac:dyDescent="0.4">
      <c r="O47" s="8"/>
    </row>
  </sheetData>
  <mergeCells count="12">
    <mergeCell ref="X4:AA4"/>
    <mergeCell ref="AB4:AE4"/>
    <mergeCell ref="AF4:AN4"/>
    <mergeCell ref="AO4:AS4"/>
    <mergeCell ref="AT4:AZ4"/>
    <mergeCell ref="BA4:BE4"/>
    <mergeCell ref="A4:A5"/>
    <mergeCell ref="B4:B5"/>
    <mergeCell ref="C4:L4"/>
    <mergeCell ref="M4:P4"/>
    <mergeCell ref="Q4:U4"/>
    <mergeCell ref="V4:W4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2023-08-29T11:21:45Z</dcterms:created>
  <dcterms:modified xsi:type="dcterms:W3CDTF">2023-08-29T11:22:37Z</dcterms:modified>
</cp:coreProperties>
</file>